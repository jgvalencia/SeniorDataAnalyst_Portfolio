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gval\Downloads\"/>
    </mc:Choice>
  </mc:AlternateContent>
  <xr:revisionPtr revIDLastSave="0" documentId="13_ncr:1_{8F204884-D488-4170-9A61-9B3EE859530A}" xr6:coauthVersionLast="47" xr6:coauthVersionMax="47" xr10:uidLastSave="{00000000-0000-0000-0000-000000000000}"/>
  <bookViews>
    <workbookView xWindow="28680" yWindow="-120" windowWidth="38640" windowHeight="15720" xr2:uid="{00000000-000D-0000-FFFF-FFFF00000000}"/>
  </bookViews>
  <sheets>
    <sheet name="TOC" sheetId="1" r:id="rId1"/>
    <sheet name="1-Billing Spikes" sheetId="2" r:id="rId2"/>
    <sheet name="2-Meter Data Quality" sheetId="3" r:id="rId3"/>
    <sheet name="3-Outage KPIs" sheetId="4" r:id="rId4"/>
    <sheet name="4-Billing Formulas" sheetId="5" r:id="rId5"/>
    <sheet name="5-Power Query ETL" sheetId="6" r:id="rId6"/>
    <sheet name="6-UAT Checklist" sheetId="7" r:id="rId7"/>
    <sheet name="7-QA Reference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0" i="5" l="1"/>
  <c r="G40" i="5"/>
  <c r="F40" i="5"/>
  <c r="E40" i="5"/>
  <c r="I40" i="5" s="1"/>
  <c r="I39" i="5"/>
  <c r="H39" i="5"/>
  <c r="F39" i="5"/>
  <c r="E39" i="5"/>
  <c r="H38" i="5"/>
  <c r="F38" i="5"/>
  <c r="E38" i="5"/>
  <c r="I38" i="5" s="1"/>
  <c r="H37" i="5"/>
  <c r="I37" i="5" s="1"/>
  <c r="F37" i="5"/>
  <c r="E37" i="5"/>
  <c r="H36" i="5"/>
  <c r="F36" i="5"/>
  <c r="I36" i="5" s="1"/>
  <c r="E36" i="5"/>
  <c r="I35" i="5"/>
  <c r="H35" i="5"/>
  <c r="F35" i="5"/>
  <c r="E35" i="5"/>
  <c r="H34" i="5"/>
  <c r="F34" i="5"/>
  <c r="E34" i="5"/>
  <c r="I34" i="5" s="1"/>
  <c r="H33" i="5"/>
  <c r="I33" i="5" s="1"/>
  <c r="F33" i="5"/>
  <c r="E33" i="5"/>
  <c r="H32" i="5"/>
  <c r="F32" i="5"/>
  <c r="I32" i="5" s="1"/>
  <c r="E32" i="5"/>
  <c r="I31" i="5"/>
  <c r="H31" i="5"/>
  <c r="F31" i="5"/>
  <c r="E31" i="5"/>
  <c r="H30" i="5"/>
  <c r="F30" i="5"/>
  <c r="E30" i="5"/>
  <c r="I30" i="5" s="1"/>
  <c r="H29" i="5"/>
  <c r="I29" i="5" s="1"/>
  <c r="G29" i="5"/>
  <c r="F29" i="5"/>
  <c r="E29" i="5"/>
  <c r="H28" i="5"/>
  <c r="G28" i="5"/>
  <c r="I28" i="5" s="1"/>
  <c r="F28" i="5"/>
  <c r="E28" i="5"/>
  <c r="H27" i="5"/>
  <c r="G27" i="5"/>
  <c r="F27" i="5"/>
  <c r="E27" i="5"/>
  <c r="I27" i="5" s="1"/>
  <c r="I26" i="5"/>
  <c r="H26" i="5"/>
  <c r="G26" i="5"/>
  <c r="F26" i="5"/>
  <c r="E26" i="5"/>
  <c r="B48" i="4"/>
  <c r="B47" i="4"/>
  <c r="B46" i="4"/>
  <c r="B45" i="4"/>
  <c r="B44" i="4"/>
  <c r="B42" i="4"/>
  <c r="J33" i="4"/>
  <c r="G33" i="4"/>
  <c r="I33" i="4" s="1"/>
  <c r="J32" i="4"/>
  <c r="G32" i="4"/>
  <c r="I32" i="4" s="1"/>
  <c r="J31" i="4"/>
  <c r="I31" i="4"/>
  <c r="G31" i="4"/>
  <c r="J30" i="4"/>
  <c r="I30" i="4"/>
  <c r="G30" i="4"/>
  <c r="J29" i="4"/>
  <c r="G29" i="4"/>
  <c r="I29" i="4" s="1"/>
  <c r="J28" i="4"/>
  <c r="G28" i="4"/>
  <c r="I28" i="4" s="1"/>
  <c r="J27" i="4"/>
  <c r="G27" i="4"/>
  <c r="I27" i="4" s="1"/>
  <c r="J26" i="4"/>
  <c r="I26" i="4"/>
  <c r="G26" i="4"/>
  <c r="J25" i="4"/>
  <c r="G25" i="4"/>
  <c r="I25" i="4" s="1"/>
  <c r="J24" i="4"/>
  <c r="G24" i="4"/>
  <c r="I24" i="4" s="1"/>
  <c r="J23" i="4"/>
  <c r="G23" i="4"/>
  <c r="I23" i="4" s="1"/>
  <c r="J22" i="4"/>
  <c r="I22" i="4"/>
  <c r="G22" i="4"/>
  <c r="J21" i="4"/>
  <c r="G21" i="4"/>
  <c r="I21" i="4" s="1"/>
  <c r="J20" i="4"/>
  <c r="G20" i="4"/>
  <c r="I20" i="4" s="1"/>
  <c r="J19" i="4"/>
  <c r="I19" i="4"/>
  <c r="G19" i="4"/>
  <c r="J18" i="4"/>
  <c r="I18" i="4"/>
  <c r="G18" i="4"/>
  <c r="J17" i="4"/>
  <c r="G17" i="4"/>
  <c r="R8" i="4" s="1"/>
  <c r="J16" i="4"/>
  <c r="G16" i="4"/>
  <c r="I16" i="4" s="1"/>
  <c r="J15" i="4"/>
  <c r="G15" i="4"/>
  <c r="I15" i="4" s="1"/>
  <c r="J14" i="4"/>
  <c r="I14" i="4"/>
  <c r="G14" i="4"/>
  <c r="J13" i="4"/>
  <c r="G13" i="4"/>
  <c r="I13" i="4" s="1"/>
  <c r="J12" i="4"/>
  <c r="G12" i="4"/>
  <c r="I12" i="4" s="1"/>
  <c r="J11" i="4"/>
  <c r="G11" i="4"/>
  <c r="I11" i="4" s="1"/>
  <c r="J10" i="4"/>
  <c r="I10" i="4"/>
  <c r="G10" i="4"/>
  <c r="J9" i="4"/>
  <c r="G9" i="4"/>
  <c r="I9" i="4" s="1"/>
  <c r="J8" i="4"/>
  <c r="G8" i="4"/>
  <c r="I8" i="4" s="1"/>
  <c r="R7" i="4"/>
  <c r="J7" i="4"/>
  <c r="G7" i="4"/>
  <c r="I7" i="4" s="1"/>
  <c r="J6" i="4"/>
  <c r="G6" i="4"/>
  <c r="R6" i="4" s="1"/>
  <c r="R5" i="4"/>
  <c r="J5" i="4"/>
  <c r="G5" i="4"/>
  <c r="I5" i="4" s="1"/>
  <c r="L4" i="4"/>
  <c r="L5" i="4" s="1"/>
  <c r="L6" i="4" s="1"/>
  <c r="L7" i="4" s="1"/>
  <c r="L8" i="4" s="1"/>
  <c r="L9" i="4" s="1"/>
  <c r="L10" i="4" s="1"/>
  <c r="L11" i="4" s="1"/>
  <c r="L12" i="4" s="1"/>
  <c r="L13" i="4" s="1"/>
  <c r="L14" i="4" s="1"/>
  <c r="L15" i="4" s="1"/>
  <c r="L16" i="4" s="1"/>
  <c r="L17" i="4" s="1"/>
  <c r="L18" i="4" s="1"/>
  <c r="L19" i="4" s="1"/>
  <c r="L20" i="4" s="1"/>
  <c r="L21" i="4" s="1"/>
  <c r="L22" i="4" s="1"/>
  <c r="L23" i="4" s="1"/>
  <c r="L24" i="4" s="1"/>
  <c r="L25" i="4" s="1"/>
  <c r="L26" i="4" s="1"/>
  <c r="L27" i="4" s="1"/>
  <c r="L28" i="4" s="1"/>
  <c r="L29" i="4" s="1"/>
  <c r="L30" i="4" s="1"/>
  <c r="L31" i="4" s="1"/>
  <c r="L32" i="4" s="1"/>
  <c r="L33" i="4" s="1"/>
  <c r="J4" i="4"/>
  <c r="G4" i="4"/>
  <c r="R4" i="4" s="1"/>
  <c r="L28" i="3"/>
  <c r="J28" i="3"/>
  <c r="H28" i="3"/>
  <c r="F28" i="3"/>
  <c r="H27" i="3"/>
  <c r="J27" i="3" s="1"/>
  <c r="L27" i="3" s="1"/>
  <c r="F27" i="3"/>
  <c r="F26" i="3"/>
  <c r="H26" i="3" s="1"/>
  <c r="J26" i="3" s="1"/>
  <c r="L26" i="3" s="1"/>
  <c r="L25" i="3"/>
  <c r="J25" i="3"/>
  <c r="H25" i="3"/>
  <c r="F25" i="3"/>
  <c r="H24" i="3"/>
  <c r="J24" i="3" s="1"/>
  <c r="L24" i="3" s="1"/>
  <c r="F24" i="3"/>
  <c r="F23" i="3"/>
  <c r="H23" i="3" s="1"/>
  <c r="J23" i="3" s="1"/>
  <c r="L23" i="3" s="1"/>
  <c r="L22" i="3"/>
  <c r="J22" i="3"/>
  <c r="H22" i="3"/>
  <c r="F22" i="3"/>
  <c r="H21" i="3"/>
  <c r="J21" i="3" s="1"/>
  <c r="L21" i="3" s="1"/>
  <c r="F21" i="3"/>
  <c r="F20" i="3"/>
  <c r="H20" i="3" s="1"/>
  <c r="J20" i="3" s="1"/>
  <c r="L20" i="3" s="1"/>
  <c r="F19" i="3"/>
  <c r="H19" i="3" s="1"/>
  <c r="J19" i="3" s="1"/>
  <c r="L19" i="3" s="1"/>
  <c r="H18" i="3"/>
  <c r="J18" i="3" s="1"/>
  <c r="L18" i="3" s="1"/>
  <c r="F18" i="3"/>
  <c r="F17" i="3"/>
  <c r="H17" i="3" s="1"/>
  <c r="J17" i="3" s="1"/>
  <c r="L17" i="3" s="1"/>
  <c r="F16" i="3"/>
  <c r="H16" i="3" s="1"/>
  <c r="J16" i="3" s="1"/>
  <c r="L16" i="3" s="1"/>
  <c r="L15" i="3"/>
  <c r="H15" i="3"/>
  <c r="J15" i="3" s="1"/>
  <c r="F15" i="3"/>
  <c r="F14" i="3"/>
  <c r="H14" i="3" s="1"/>
  <c r="J14" i="3" s="1"/>
  <c r="L14" i="3" s="1"/>
  <c r="F13" i="3"/>
  <c r="H13" i="3" s="1"/>
  <c r="J13" i="3" s="1"/>
  <c r="L13" i="3" s="1"/>
  <c r="L12" i="3"/>
  <c r="H12" i="3"/>
  <c r="J12" i="3" s="1"/>
  <c r="F12" i="3"/>
  <c r="F11" i="3"/>
  <c r="H11" i="3" s="1"/>
  <c r="J11" i="3" s="1"/>
  <c r="L11" i="3" s="1"/>
  <c r="L10" i="3"/>
  <c r="F10" i="3"/>
  <c r="H10" i="3" s="1"/>
  <c r="J10" i="3" s="1"/>
  <c r="H9" i="3"/>
  <c r="J9" i="3" s="1"/>
  <c r="L9" i="3" s="1"/>
  <c r="F9" i="3"/>
  <c r="F8" i="3"/>
  <c r="H8" i="3" s="1"/>
  <c r="J8" i="3" s="1"/>
  <c r="L8" i="3" s="1"/>
  <c r="F7" i="3"/>
  <c r="H7" i="3" s="1"/>
  <c r="J7" i="3" s="1"/>
  <c r="L7" i="3" s="1"/>
  <c r="H6" i="3"/>
  <c r="J6" i="3" s="1"/>
  <c r="L6" i="3" s="1"/>
  <c r="F6" i="3"/>
  <c r="L5" i="3"/>
  <c r="F5" i="3"/>
  <c r="H5" i="3" s="1"/>
  <c r="J5" i="3" s="1"/>
  <c r="L4" i="3"/>
  <c r="F4" i="3"/>
  <c r="H4" i="3" s="1"/>
  <c r="J4" i="3" s="1"/>
  <c r="B27" i="2"/>
  <c r="J23" i="2"/>
  <c r="I23" i="2"/>
  <c r="F23" i="2"/>
  <c r="J22" i="2"/>
  <c r="B41" i="2" s="1"/>
  <c r="I22" i="2"/>
  <c r="F22" i="2"/>
  <c r="I21" i="2"/>
  <c r="J21" i="2" s="1"/>
  <c r="F21" i="2"/>
  <c r="I20" i="2"/>
  <c r="F20" i="2"/>
  <c r="J20" i="2" s="1"/>
  <c r="J19" i="2"/>
  <c r="B40" i="2" s="1"/>
  <c r="I19" i="2"/>
  <c r="F19" i="2"/>
  <c r="J18" i="2"/>
  <c r="I18" i="2"/>
  <c r="F18" i="2"/>
  <c r="I17" i="2"/>
  <c r="J17" i="2" s="1"/>
  <c r="F17" i="2"/>
  <c r="I16" i="2"/>
  <c r="F16" i="2"/>
  <c r="J16" i="2" s="1"/>
  <c r="J15" i="2"/>
  <c r="I15" i="2"/>
  <c r="F15" i="2"/>
  <c r="J14" i="2"/>
  <c r="I14" i="2"/>
  <c r="F14" i="2"/>
  <c r="I13" i="2"/>
  <c r="J13" i="2" s="1"/>
  <c r="F13" i="2"/>
  <c r="I12" i="2"/>
  <c r="F12" i="2"/>
  <c r="J12" i="2" s="1"/>
  <c r="J11" i="2"/>
  <c r="I11" i="2"/>
  <c r="F11" i="2"/>
  <c r="J10" i="2"/>
  <c r="I10" i="2"/>
  <c r="F10" i="2"/>
  <c r="I9" i="2"/>
  <c r="J9" i="2" s="1"/>
  <c r="B38" i="2" s="1"/>
  <c r="F9" i="2"/>
  <c r="I8" i="2"/>
  <c r="F8" i="2"/>
  <c r="J8" i="2" s="1"/>
  <c r="J7" i="2"/>
  <c r="I7" i="2"/>
  <c r="F7" i="2"/>
  <c r="J6" i="2"/>
  <c r="I6" i="2"/>
  <c r="F6" i="2"/>
  <c r="I5" i="2"/>
  <c r="J5" i="2" s="1"/>
  <c r="F5" i="2"/>
  <c r="I4" i="2"/>
  <c r="F4" i="2"/>
  <c r="B32" i="2" s="1"/>
  <c r="J34" i="5" l="1"/>
  <c r="J37" i="5"/>
  <c r="B39" i="2"/>
  <c r="J38" i="5"/>
  <c r="K38" i="5" s="1"/>
  <c r="B37" i="3"/>
  <c r="C37" i="3" s="1"/>
  <c r="J32" i="5"/>
  <c r="K32" i="5" s="1"/>
  <c r="L32" i="5" s="1"/>
  <c r="J28" i="5"/>
  <c r="J36" i="5"/>
  <c r="J40" i="5"/>
  <c r="J29" i="5"/>
  <c r="K29" i="5" s="1"/>
  <c r="J27" i="5"/>
  <c r="K30" i="5"/>
  <c r="L30" i="5" s="1"/>
  <c r="J30" i="5"/>
  <c r="K33" i="5"/>
  <c r="J33" i="5"/>
  <c r="L33" i="5" s="1"/>
  <c r="B39" i="3"/>
  <c r="B40" i="3"/>
  <c r="B41" i="3"/>
  <c r="I17" i="4"/>
  <c r="B50" i="4"/>
  <c r="B33" i="3"/>
  <c r="C33" i="3" s="1"/>
  <c r="B39" i="4"/>
  <c r="B34" i="3"/>
  <c r="C34" i="3" s="1"/>
  <c r="I4" i="4"/>
  <c r="I6" i="4"/>
  <c r="B41" i="4"/>
  <c r="B35" i="3"/>
  <c r="C35" i="3" s="1"/>
  <c r="J4" i="2"/>
  <c r="B43" i="4"/>
  <c r="B30" i="2"/>
  <c r="B36" i="3"/>
  <c r="C36" i="3" s="1"/>
  <c r="J26" i="5"/>
  <c r="K26" i="5" s="1"/>
  <c r="J31" i="5"/>
  <c r="K31" i="5" s="1"/>
  <c r="J35" i="5"/>
  <c r="K35" i="5" s="1"/>
  <c r="J39" i="5"/>
  <c r="B31" i="2"/>
  <c r="O30" i="5" l="1"/>
  <c r="N30" i="5"/>
  <c r="L27" i="5"/>
  <c r="O33" i="5"/>
  <c r="N33" i="5"/>
  <c r="L40" i="5"/>
  <c r="L36" i="5"/>
  <c r="O32" i="5"/>
  <c r="N32" i="5"/>
  <c r="L37" i="5"/>
  <c r="K40" i="5"/>
  <c r="K27" i="5"/>
  <c r="K36" i="5"/>
  <c r="L38" i="5"/>
  <c r="L29" i="5"/>
  <c r="K28" i="5"/>
  <c r="L28" i="5" s="1"/>
  <c r="K37" i="5"/>
  <c r="L26" i="5"/>
  <c r="K39" i="5"/>
  <c r="L39" i="5" s="1"/>
  <c r="L35" i="5"/>
  <c r="L31" i="5"/>
  <c r="K34" i="5"/>
  <c r="L34" i="5" s="1"/>
  <c r="B29" i="2"/>
  <c r="B28" i="2"/>
  <c r="B37" i="2"/>
  <c r="B33" i="2"/>
  <c r="K4" i="4"/>
  <c r="K5" i="4" s="1"/>
  <c r="K6" i="4" s="1"/>
  <c r="K7" i="4" s="1"/>
  <c r="K8" i="4" s="1"/>
  <c r="K9" i="4" s="1"/>
  <c r="K10" i="4" s="1"/>
  <c r="K11" i="4" s="1"/>
  <c r="K12" i="4" s="1"/>
  <c r="K13" i="4" s="1"/>
  <c r="K14" i="4" s="1"/>
  <c r="K15" i="4" s="1"/>
  <c r="K16" i="4" s="1"/>
  <c r="K17" i="4" s="1"/>
  <c r="K18" i="4" s="1"/>
  <c r="K19" i="4" s="1"/>
  <c r="K20" i="4" s="1"/>
  <c r="K21" i="4" s="1"/>
  <c r="K22" i="4" s="1"/>
  <c r="K23" i="4" s="1"/>
  <c r="K24" i="4" s="1"/>
  <c r="K25" i="4" s="1"/>
  <c r="K26" i="4" s="1"/>
  <c r="K27" i="4" s="1"/>
  <c r="K28" i="4" s="1"/>
  <c r="K29" i="4" s="1"/>
  <c r="K30" i="4" s="1"/>
  <c r="K31" i="4" s="1"/>
  <c r="K32" i="4" s="1"/>
  <c r="K33" i="4" s="1"/>
  <c r="B38" i="4"/>
  <c r="B49" i="4"/>
  <c r="B40" i="4"/>
  <c r="O39" i="5" l="1"/>
  <c r="N39" i="5"/>
  <c r="O34" i="5"/>
  <c r="N34" i="5"/>
  <c r="O28" i="5"/>
  <c r="N28" i="5"/>
  <c r="O26" i="5"/>
  <c r="N26" i="5"/>
  <c r="O29" i="5"/>
  <c r="N29" i="5"/>
  <c r="O31" i="5"/>
  <c r="N31" i="5"/>
  <c r="O37" i="5"/>
  <c r="N37" i="5"/>
  <c r="O36" i="5"/>
  <c r="N36" i="5"/>
  <c r="O27" i="5"/>
  <c r="N27" i="5"/>
  <c r="O40" i="5"/>
  <c r="N40" i="5"/>
  <c r="O35" i="5"/>
  <c r="N35" i="5"/>
  <c r="O38" i="5"/>
  <c r="N38" i="5"/>
  <c r="C41" i="2"/>
  <c r="C40" i="2"/>
  <c r="C39" i="2"/>
  <c r="C37" i="2"/>
  <c r="C38" i="2"/>
</calcChain>
</file>

<file path=xl/sharedStrings.xml><?xml version="1.0" encoding="utf-8"?>
<sst xmlns="http://schemas.openxmlformats.org/spreadsheetml/2006/main" count="718" uniqueCount="508">
  <si>
    <t>TECO — Tampa Electric Company</t>
  </si>
  <si>
    <t>Excel Interview Prep Workbook — Utility Analytics Role</t>
  </si>
  <si>
    <t>Prepared for: JOSE  |  Date: September 18, 2026  |  Location: Wesley Chapel, FL</t>
  </si>
  <si>
    <t>#</t>
  </si>
  <si>
    <t>Sheet Name</t>
  </si>
  <si>
    <t>Purpose</t>
  </si>
  <si>
    <t>Key Features</t>
  </si>
  <si>
    <t>Data Rows</t>
  </si>
  <si>
    <t>Formulas</t>
  </si>
  <si>
    <t>Charts</t>
  </si>
  <si>
    <t>Link</t>
  </si>
  <si>
    <t>1</t>
  </si>
  <si>
    <t>Billing Spike Investigation</t>
  </si>
  <si>
    <t>Detect billing anomalies using historical averages</t>
  </si>
  <si>
    <t>Spike Ratio, Anomaly Flag, Conditional Formatting, Bar Chart</t>
  </si>
  <si>
    <t>20</t>
  </si>
  <si>
    <t>Yes</t>
  </si>
  <si>
    <t>Go to Sheet 1</t>
  </si>
  <si>
    <t>2</t>
  </si>
  <si>
    <t>Meter Read Data Quality</t>
  </si>
  <si>
    <t>Validate meter reads for duplicates, reversals, missing reads</t>
  </si>
  <si>
    <t>Data Quality Flags, Color-Coded CF, Deviation %, Summary</t>
  </si>
  <si>
    <t>25</t>
  </si>
  <si>
    <t>No</t>
  </si>
  <si>
    <t>Go to Sheet 2</t>
  </si>
  <si>
    <t>3</t>
  </si>
  <si>
    <t>Outage KPI Calculations</t>
  </si>
  <si>
    <t>Calculate SAIDI/SAIFI reliability KPIs from outage events</t>
  </si>
  <si>
    <t>SAIDI/SAIFI/CAIDI, Cumulative Totals, IEEE Benchmarks, Charts</t>
  </si>
  <si>
    <t>30</t>
  </si>
  <si>
    <t>Go to Sheet 3</t>
  </si>
  <si>
    <t>4</t>
  </si>
  <si>
    <t>Billing Amount Formulas</t>
  </si>
  <si>
    <t>Demonstrate TECO rate structure billing calculations</t>
  </si>
  <si>
    <t>RS-1/GS-2/GS-3/IS-1 Rates, Tiered Pricing, Tax Calcs, Assumptions</t>
  </si>
  <si>
    <t>15</t>
  </si>
  <si>
    <t>Go to Sheet 4</t>
  </si>
  <si>
    <t>5</t>
  </si>
  <si>
    <t>Power Query ETL Examples</t>
  </si>
  <si>
    <t>Document Power Query M-code ETL logic for TECO pipelines</t>
  </si>
  <si>
    <t>12 ETL Steps, 10 Best Practices, M-Code Snippets</t>
  </si>
  <si>
    <t>22</t>
  </si>
  <si>
    <t>Go to Sheet 5</t>
  </si>
  <si>
    <t>6</t>
  </si>
  <si>
    <t>UAT Checklist</t>
  </si>
  <si>
    <t>User Acceptance Testing for TECO billing analytics dashboard</t>
  </si>
  <si>
    <t>40 Test Cases, 6 Categories, Dropdowns, Status Dashboard</t>
  </si>
  <si>
    <t>40</t>
  </si>
  <si>
    <t>Go to Sheet 6</t>
  </si>
  <si>
    <t>7</t>
  </si>
  <si>
    <t>Q&amp;A Reference</t>
  </si>
  <si>
    <t>Interview question &amp; answer reference for analytics role</t>
  </si>
  <si>
    <t>35 Q&amp;A Pairs, 5 Categories, Difficulty Ratings, Color Coding</t>
  </si>
  <si>
    <t>35</t>
  </si>
  <si>
    <t>Go to Sheet 7</t>
  </si>
  <si>
    <t>TECO Utility Analytics — Key Metrics Reference</t>
  </si>
  <si>
    <t>Metric</t>
  </si>
  <si>
    <t>Value</t>
  </si>
  <si>
    <t>Unit</t>
  </si>
  <si>
    <t>Context</t>
  </si>
  <si>
    <t>Total Customers Served</t>
  </si>
  <si>
    <t>800,000</t>
  </si>
  <si>
    <t>Customers</t>
  </si>
  <si>
    <t>TECO approximate service territory</t>
  </si>
  <si>
    <t>SAIDI IEEE Benchmark</t>
  </si>
  <si>
    <t>&lt; 90</t>
  </si>
  <si>
    <t>min/year</t>
  </si>
  <si>
    <t>IEEE 1366 target for distribution reliability</t>
  </si>
  <si>
    <t>SAIFI IEEE Benchmark</t>
  </si>
  <si>
    <t>&lt; 1.0</t>
  </si>
  <si>
    <t>int/customer/year</t>
  </si>
  <si>
    <t>IEEE 1366 target for frequency of interruptions</t>
  </si>
  <si>
    <t>RS-1 Base Charge</t>
  </si>
  <si>
    <t>$6.65</t>
  </si>
  <si>
    <t>$/month</t>
  </si>
  <si>
    <t>Residential service monthly fixed charge</t>
  </si>
  <si>
    <t>Spike Alert Threshold</t>
  </si>
  <si>
    <t>1.5x</t>
  </si>
  <si>
    <t>ratio</t>
  </si>
  <si>
    <t>kWh ratio triggering anomaly investigation</t>
  </si>
  <si>
    <t>Billing Variance Alert</t>
  </si>
  <si>
    <t>$150</t>
  </si>
  <si>
    <t>dollars</t>
  </si>
  <si>
    <t>Dollar threshold for billing spike flag</t>
  </si>
  <si>
    <t>High Deviation Threshold</t>
  </si>
  <si>
    <t>50%</t>
  </si>
  <si>
    <t>percent</t>
  </si>
  <si>
    <t>Meter read deviation % threshold for data quality flag</t>
  </si>
  <si>
    <t>Planned Maintenance %</t>
  </si>
  <si>
    <t>~10%</t>
  </si>
  <si>
    <t>Approximate share of outages that are planned</t>
  </si>
  <si>
    <t>TECO — Billing Spike Investigation</t>
  </si>
  <si>
    <t>Purpose: Detect billing anomalies using historical averages and spike ratios | Spike Alert: Ratio &gt; 1.5x OR Variance &gt; $150</t>
  </si>
  <si>
    <t>Account ID</t>
  </si>
  <si>
    <t>Customer Name</t>
  </si>
  <si>
    <t>Rate Code</t>
  </si>
  <si>
    <t>Prior 3-Mo Avg kWh</t>
  </si>
  <si>
    <t>Current Month kWh</t>
  </si>
  <si>
    <t>Spike Ratio</t>
  </si>
  <si>
    <t>Prior Avg Bill ($)</t>
  </si>
  <si>
    <t>Current Bill ($)</t>
  </si>
  <si>
    <t>Billing Variance ($)</t>
  </si>
  <si>
    <t>Anomaly Flag</t>
  </si>
  <si>
    <t>Notes</t>
  </si>
  <si>
    <t>TECO-10001</t>
  </si>
  <si>
    <t>Sandra Mitchell</t>
  </si>
  <si>
    <t>RS-1</t>
  </si>
  <si>
    <t>TECO-10002</t>
  </si>
  <si>
    <t>David Okafor</t>
  </si>
  <si>
    <t>Usage spike detected</t>
  </si>
  <si>
    <t>TECO-10003</t>
  </si>
  <si>
    <t>Maria Torres</t>
  </si>
  <si>
    <t>TECO-10004</t>
  </si>
  <si>
    <t>James Whitfield</t>
  </si>
  <si>
    <t>TECO-10005</t>
  </si>
  <si>
    <t>Angela Brooks</t>
  </si>
  <si>
    <t>TECO-10006</t>
  </si>
  <si>
    <t>Chen Wei</t>
  </si>
  <si>
    <t>GS-2</t>
  </si>
  <si>
    <t>TECO-10007</t>
  </si>
  <si>
    <t>Lakeside Diner LLC</t>
  </si>
  <si>
    <t>TECO-10008</t>
  </si>
  <si>
    <t>Premier Auto Body</t>
  </si>
  <si>
    <t>TECO-10009</t>
  </si>
  <si>
    <t>Sunrise Fitness</t>
  </si>
  <si>
    <t>TECO-10010</t>
  </si>
  <si>
    <t>Bay Area Dental</t>
  </si>
  <si>
    <t>TECO-10011</t>
  </si>
  <si>
    <t>WC Medical Plaza</t>
  </si>
  <si>
    <t>GS-3</t>
  </si>
  <si>
    <t>TECO-10012</t>
  </si>
  <si>
    <t>Pasco County Sch.</t>
  </si>
  <si>
    <t>TECO-10013</t>
  </si>
  <si>
    <t>Northgate Mall</t>
  </si>
  <si>
    <t>TECO-10014</t>
  </si>
  <si>
    <t>Regional Hospital</t>
  </si>
  <si>
    <t>TECO-10015</t>
  </si>
  <si>
    <t>TechPark Office</t>
  </si>
  <si>
    <t>TECO-10016</t>
  </si>
  <si>
    <t>SR-54 Streetlight</t>
  </si>
  <si>
    <t>PL-1</t>
  </si>
  <si>
    <t>TECO-10017</t>
  </si>
  <si>
    <t>Meadow Pkwy Lights</t>
  </si>
  <si>
    <t>TECO-10018</t>
  </si>
  <si>
    <t>I-75 Interchange</t>
  </si>
  <si>
    <t>TECO-10019</t>
  </si>
  <si>
    <t>Polymer Corp</t>
  </si>
  <si>
    <t>IS-1</t>
  </si>
  <si>
    <t>TECO-10020</t>
  </si>
  <si>
    <t>Gulf Coast Steel</t>
  </si>
  <si>
    <t>SUMMARY — Billing Spike Analysis</t>
  </si>
  <si>
    <t>Total Accounts Reviewed</t>
  </si>
  <si>
    <t>Total Accounts Flagged (INVESTIGATE)</t>
  </si>
  <si>
    <t>Total Billing Variance — Flagged Accounts</t>
  </si>
  <si>
    <t>Average Spike Ratio (All Accounts)</t>
  </si>
  <si>
    <t>Maximum Spike Ratio</t>
  </si>
  <si>
    <t>Minimum Spike Ratio</t>
  </si>
  <si>
    <t>% Accounts Flagged</t>
  </si>
  <si>
    <t>Rate Code Breakdown — Flagged Accounts</t>
  </si>
  <si>
    <t>Flagged Count</t>
  </si>
  <si>
    <t>% of Flagged</t>
  </si>
  <si>
    <t>TECO — Meter Read Data Quality Validation</t>
  </si>
  <si>
    <t>Purpose: Validate meter reads for duplicates, missing reads, reversed reads, and implausible consumption</t>
  </si>
  <si>
    <t>Meter ID</t>
  </si>
  <si>
    <t>Read Date</t>
  </si>
  <si>
    <t>Previous Read
(kWh)</t>
  </si>
  <si>
    <t>Current Read
(kWh)</t>
  </si>
  <si>
    <t>Consumption
(kWh)</t>
  </si>
  <si>
    <t>Days in
Period</t>
  </si>
  <si>
    <t>Daily Avg
Consumption</t>
  </si>
  <si>
    <t>Expected Daily
Avg (kWh)</t>
  </si>
  <si>
    <t>Deviation %</t>
  </si>
  <si>
    <t>Read Type</t>
  </si>
  <si>
    <t>Data Quality Flag</t>
  </si>
  <si>
    <t>MTR-5001</t>
  </si>
  <si>
    <t>Actual</t>
  </si>
  <si>
    <t>MTR-5002</t>
  </si>
  <si>
    <t>MTR-5003</t>
  </si>
  <si>
    <t>Remote</t>
  </si>
  <si>
    <t>MTR-5004</t>
  </si>
  <si>
    <t>MTR-5005</t>
  </si>
  <si>
    <t>MTR-5006</t>
  </si>
  <si>
    <t>MTR-5007</t>
  </si>
  <si>
    <t>MTR-5008</t>
  </si>
  <si>
    <t>MTR-5009</t>
  </si>
  <si>
    <t>MTR-5010</t>
  </si>
  <si>
    <t>MTR-5011</t>
  </si>
  <si>
    <t>MTR-5012</t>
  </si>
  <si>
    <t>MTR-5013</t>
  </si>
  <si>
    <t>MTR-5014</t>
  </si>
  <si>
    <t>MTR-5015</t>
  </si>
  <si>
    <t>MTR-5016</t>
  </si>
  <si>
    <t>MTR-5017</t>
  </si>
  <si>
    <t>Estimated</t>
  </si>
  <si>
    <t>MTR-5018</t>
  </si>
  <si>
    <t>MTR-5019</t>
  </si>
  <si>
    <t>MTR-5020</t>
  </si>
  <si>
    <t>MTR-5021</t>
  </si>
  <si>
    <t>TECO-10021</t>
  </si>
  <si>
    <t>MTR-5022</t>
  </si>
  <si>
    <t>TECO-10022</t>
  </si>
  <si>
    <t>MTR-5023</t>
  </si>
  <si>
    <t>TECO-10023</t>
  </si>
  <si>
    <t>SUMMARY — Data Quality Flag Counts</t>
  </si>
  <si>
    <t>Flag Type</t>
  </si>
  <si>
    <t>Count</t>
  </si>
  <si>
    <t>% of Total</t>
  </si>
  <si>
    <t>Color Code</t>
  </si>
  <si>
    <t>Action Required</t>
  </si>
  <si>
    <t>DUPLICATE</t>
  </si>
  <si>
    <t>Remove duplicate — keep most recent read</t>
  </si>
  <si>
    <t>REVERSED</t>
  </si>
  <si>
    <t>Investigate — possible meter rollback or tamper</t>
  </si>
  <si>
    <t>MISSING</t>
  </si>
  <si>
    <t>Estimate consumption using historical avg</t>
  </si>
  <si>
    <t>HIGH DEVIATION</t>
  </si>
  <si>
    <t>Verify with field read — possible meter fault</t>
  </si>
  <si>
    <t>OK</t>
  </si>
  <si>
    <t>No action needed</t>
  </si>
  <si>
    <t>Total Reads Flagged (any issue):</t>
  </si>
  <si>
    <t>% of Reads with Issues:</t>
  </si>
  <si>
    <t>Total Estimated kWh at Risk (flagged):</t>
  </si>
  <si>
    <t>TECO — Outage KPI Calculations (SAIDI / SAIFI / CAIDI)</t>
  </si>
  <si>
    <t>Purpose: Calculate IEEE 1366 reliability KPIs from raw outage event data | Total Customers Served = 800,000</t>
  </si>
  <si>
    <t>Outage ID</t>
  </si>
  <si>
    <t>Date</t>
  </si>
  <si>
    <t>Circuit ID</t>
  </si>
  <si>
    <t>Cause Category</t>
  </si>
  <si>
    <t>Customers
Affected</t>
  </si>
  <si>
    <t>Duration
(min)</t>
  </si>
  <si>
    <t>CMI
(Cust×Min)</t>
  </si>
  <si>
    <t>Restoration
Time</t>
  </si>
  <si>
    <t>SAIDI
Contrib (min)</t>
  </si>
  <si>
    <t>SAIFI
Contrib</t>
  </si>
  <si>
    <t>Cumulative
SAIDI</t>
  </si>
  <si>
    <t>Cumulative
SAIFI</t>
  </si>
  <si>
    <t>Cause</t>
  </si>
  <si>
    <t>Total CMI</t>
  </si>
  <si>
    <t>OUT-0001</t>
  </si>
  <si>
    <t>CKT-4412</t>
  </si>
  <si>
    <t>Weather</t>
  </si>
  <si>
    <t>OUT-0002</t>
  </si>
  <si>
    <t>CKT-2201</t>
  </si>
  <si>
    <t>Equipment Failure</t>
  </si>
  <si>
    <t>OUT-0003</t>
  </si>
  <si>
    <t>CKT-5530</t>
  </si>
  <si>
    <t>Vegetation</t>
  </si>
  <si>
    <t>OUT-0004</t>
  </si>
  <si>
    <t>CKT-1105</t>
  </si>
  <si>
    <t>Planned</t>
  </si>
  <si>
    <t>OUT-0005</t>
  </si>
  <si>
    <t>CKT-3318</t>
  </si>
  <si>
    <t>Unknown</t>
  </si>
  <si>
    <t>OUT-0006</t>
  </si>
  <si>
    <t>OUT-0007</t>
  </si>
  <si>
    <t>OUT-0008</t>
  </si>
  <si>
    <t>CKT-6601</t>
  </si>
  <si>
    <t>OUT-0009</t>
  </si>
  <si>
    <t>OUT-0010</t>
  </si>
  <si>
    <t>OUT-0011</t>
  </si>
  <si>
    <t>OUT-0012</t>
  </si>
  <si>
    <t>OUT-0013</t>
  </si>
  <si>
    <t>OUT-0014</t>
  </si>
  <si>
    <t>OUT-0015</t>
  </si>
  <si>
    <t>OUT-0016</t>
  </si>
  <si>
    <t>OUT-0017</t>
  </si>
  <si>
    <t>OUT-0018</t>
  </si>
  <si>
    <t>OUT-0019</t>
  </si>
  <si>
    <t>OUT-0020</t>
  </si>
  <si>
    <t>OUT-0021</t>
  </si>
  <si>
    <t>OUT-0022</t>
  </si>
  <si>
    <t>OUT-0023</t>
  </si>
  <si>
    <t>OUT-0024</t>
  </si>
  <si>
    <t>OUT-0025</t>
  </si>
  <si>
    <t>OUT-0026</t>
  </si>
  <si>
    <t>OUT-0027</t>
  </si>
  <si>
    <t>OUT-0028</t>
  </si>
  <si>
    <t>OUT-0029</t>
  </si>
  <si>
    <t>OUT-0030</t>
  </si>
  <si>
    <t>KPI DASHBOARD — IEEE 1366 Reliability Summary</t>
  </si>
  <si>
    <t>KPI Metric</t>
  </si>
  <si>
    <t>Calculated Value</t>
  </si>
  <si>
    <t>Format</t>
  </si>
  <si>
    <t>Notes / Benchmark</t>
  </si>
  <si>
    <t>Total SAIDI (min/customer/year)</t>
  </si>
  <si>
    <t>0.00</t>
  </si>
  <si>
    <t>&lt; 90 min  (IEEE 1366 target)</t>
  </si>
  <si>
    <t>Total SAIFI (int/customer/year)</t>
  </si>
  <si>
    <t>0.0000</t>
  </si>
  <si>
    <t>&lt; 1.00    (IEEE 1366 target)</t>
  </si>
  <si>
    <t>CAIDI (min/interruption) = SAIDI/SAIFI</t>
  </si>
  <si>
    <t>Duration efficiency metric</t>
  </si>
  <si>
    <t>Total CMI (Customer-Minutes Int.)</t>
  </si>
  <si>
    <t>#,##0</t>
  </si>
  <si>
    <t>Sum of all customer-minute impacts</t>
  </si>
  <si>
    <t>Total Outage Events</t>
  </si>
  <si>
    <t>0</t>
  </si>
  <si>
    <t>Count of recorded outage events</t>
  </si>
  <si>
    <t>Worst Single Event (by CMI)</t>
  </si>
  <si>
    <t>Highest single-event customer impact</t>
  </si>
  <si>
    <t>Avg Duration — Weather (min)</t>
  </si>
  <si>
    <t>0.0</t>
  </si>
  <si>
    <t>Avg Duration — Equipment Failure (min)</t>
  </si>
  <si>
    <t>Avg Duration — Vegetation (min)</t>
  </si>
  <si>
    <t>Avg Duration — Planned (min)</t>
  </si>
  <si>
    <t>Avg Duration — Unknown (min)</t>
  </si>
  <si>
    <t>SAIDI vs IEEE Target</t>
  </si>
  <si>
    <t>—</t>
  </si>
  <si>
    <t>SAIFI vs IEEE Target</t>
  </si>
  <si>
    <t>NOTE: SAIDI and SAIFI values above reflect year-to-date data through September 2026.</t>
  </si>
  <si>
    <t xml:space="preserve">      IEEE 1366 benchmarks are annual targets. Annualized projections may exceed partial-year totals.</t>
  </si>
  <si>
    <t>TECO — Billing Amount Formulas &amp; Rate Calculator</t>
  </si>
  <si>
    <t>Purpose: Demonstrate TECO rate structure billing calculations for RS-1, GS-2, GS-3, IS-1 rate classes</t>
  </si>
  <si>
    <t>RATE ASSUMPTIONS (Change values here — formulas update automatically)</t>
  </si>
  <si>
    <t>Parameter</t>
  </si>
  <si>
    <t>Residential fixed monthly charge</t>
  </si>
  <si>
    <t>RS-1 Tier 1 Energy Rate</t>
  </si>
  <si>
    <t>$/kWh</t>
  </si>
  <si>
    <t>First 1,000 kWh</t>
  </si>
  <si>
    <t>RS-1 Tier 2 Energy Rate</t>
  </si>
  <si>
    <t>Above 1,000 kWh</t>
  </si>
  <si>
    <t>GS-2 Base Charge</t>
  </si>
  <si>
    <t>Small commercial fixed charge</t>
  </si>
  <si>
    <t>GS-2 Energy Rate</t>
  </si>
  <si>
    <t>All kWh</t>
  </si>
  <si>
    <t>GS-2 Demand Charge</t>
  </si>
  <si>
    <t>$/kW</t>
  </si>
  <si>
    <t>Measured demand</t>
  </si>
  <si>
    <t>GS-3 Base Charge</t>
  </si>
  <si>
    <t>Medium commercial fixed charge</t>
  </si>
  <si>
    <t>GS-3 Energy Rate</t>
  </si>
  <si>
    <t>GS-3 Demand Charge</t>
  </si>
  <si>
    <t>IS-1 Base Charge</t>
  </si>
  <si>
    <t>Industrial fixed charge</t>
  </si>
  <si>
    <t>IS-1 Energy Rate</t>
  </si>
  <si>
    <t>IS-1 Demand Charge</t>
  </si>
  <si>
    <t>Fuel Adjustment Charge</t>
  </si>
  <si>
    <t>Applied to all rate classes</t>
  </si>
  <si>
    <t>Gross Receipts Tax Rate</t>
  </si>
  <si>
    <t>%</t>
  </si>
  <si>
    <t>Applied to subtotal</t>
  </si>
  <si>
    <t>State Sales Tax Rate</t>
  </si>
  <si>
    <t>Applied after GRT</t>
  </si>
  <si>
    <t>RS-1 Tier Breakpoint</t>
  </si>
  <si>
    <t>kWh</t>
  </si>
  <si>
    <t>Tier 1 / Tier 2 kWh boundary</t>
  </si>
  <si>
    <t>BILLING CALCULATOR — 15 Customer Scenarios</t>
  </si>
  <si>
    <t>kWh Usage</t>
  </si>
  <si>
    <t>Demand (kW)</t>
  </si>
  <si>
    <t>Base Charge ($)</t>
  </si>
  <si>
    <t>Tier 1 Energy ($)</t>
  </si>
  <si>
    <t>Tier 2 Energy ($)</t>
  </si>
  <si>
    <t>Fuel Adjust ($)</t>
  </si>
  <si>
    <t>Subtotal Before Tax ($)</t>
  </si>
  <si>
    <t>Gross Receipts Tax ($)</t>
  </si>
  <si>
    <t>State Sales Tax ($)</t>
  </si>
  <si>
    <t>Total Bill ($)</t>
  </si>
  <si>
    <t>Prior Month Bill ($)</t>
  </si>
  <si>
    <t>MoM Change ($)</t>
  </si>
  <si>
    <t>MoM % Change</t>
  </si>
  <si>
    <t>TECO-20001</t>
  </si>
  <si>
    <t>TECO-20002</t>
  </si>
  <si>
    <t>TECO-20003</t>
  </si>
  <si>
    <t>TECO-20004</t>
  </si>
  <si>
    <t>TECO-20005</t>
  </si>
  <si>
    <t>TECO-20006</t>
  </si>
  <si>
    <t>TECO-20007</t>
  </si>
  <si>
    <t>TECO-20008</t>
  </si>
  <si>
    <t>TECO-20009</t>
  </si>
  <si>
    <t>TECO-20010</t>
  </si>
  <si>
    <t>TECO-20011</t>
  </si>
  <si>
    <t>TECO-20012</t>
  </si>
  <si>
    <t>TECO-20013</t>
  </si>
  <si>
    <t>TECO-20014</t>
  </si>
  <si>
    <t>TECO-20015</t>
  </si>
  <si>
    <t>NOTE: GS-2, GS-3, and IS-1 Tier 2 Energy column shows $0 — demand charge is included in Subtotal Before Tax formula.</t>
  </si>
  <si>
    <t>TECO — Power Query ETL Examples &amp; M-Code Reference</t>
  </si>
  <si>
    <t>Purpose: Document Power Query M-code ETL logic for TECO utility data pipelines with explanatory annotations</t>
  </si>
  <si>
    <t>TABLE 1 — ETL Transformation Steps (12 Scenarios)</t>
  </si>
  <si>
    <t>Step #</t>
  </si>
  <si>
    <t>Transformation Name</t>
  </si>
  <si>
    <t>Business Purpose</t>
  </si>
  <si>
    <t>M-Code Snippet (text reference)</t>
  </si>
  <si>
    <t>Input Data Example</t>
  </si>
  <si>
    <t>Output Data Example</t>
  </si>
  <si>
    <t>Common Errors / Pitfalls</t>
  </si>
  <si>
    <t>Load Meter Read CSV from Data Lake</t>
  </si>
  <si>
    <t>Import raw meter read files from TECO SFTP/data lake into Power Query for downstream transformation</t>
  </si>
  <si>
    <t>Csv.Document(File.Contents("\\teco-datalake\meterreads\MR_2026-08.csv"), [Delimiter=",", Encoding=1252, QuoteStyle=QuoteStyle.None])</t>
  </si>
  <si>
    <t>CSV file: MTR-5001, TECO-10001, 8/31/2026, 48200, 49520</t>
  </si>
  <si>
    <t>Table with columns: MeterID, AccountID, ReadDate(date), PrevRead(int), CurrRead(int)</t>
  </si>
  <si>
    <t>Date parsing fails if format is M/D/YYYY vs YYYY-MM-DD — always cast with Date.FromText() specifying locale</t>
  </si>
  <si>
    <t>Remove Duplicate Meter Reads</t>
  </si>
  <si>
    <t>Eliminate duplicate entries where same Meter ID and Read Date appear more than once — keeps most recent ingestion</t>
  </si>
  <si>
    <t>Table.Distinct(Source, {"MeterID", "ReadDate"})</t>
  </si>
  <si>
    <t>Two rows: MTR-5001 | 2026-08-31 | 49520  and  MTR-5001 | 2026-08-31 | 49520</t>
  </si>
  <si>
    <t>Single row: MTR-5001 | 2026-08-31 | 49520</t>
  </si>
  <si>
    <t>Table.Distinct keeps first occurrence — sort by ingestion timestamp DESC before deduplication to keep latest</t>
  </si>
  <si>
    <t>Filter Out Estimated Reads</t>
  </si>
  <si>
    <t>Exclude estimated reads from billing validation — only actual and remote reads should feed billing calculations</t>
  </si>
  <si>
    <t>Table.SelectRows(Source, each [ReadType] &lt;&gt; "Estimated")</t>
  </si>
  <si>
    <t>Rows with ReadType: Actual, Estimated, Remote, Actual</t>
  </si>
  <si>
    <t>Rows with ReadType: Actual, Remote, Actual (Estimated row removed)</t>
  </si>
  <si>
    <t>If ReadType column has trailing spaces or mixed case (estimated vs Estimated), filter will miss rows — use Text.Trim and Text.Proper first</t>
  </si>
  <si>
    <t>Calculate Consumption (Handle Nulls)</t>
  </si>
  <si>
    <t>Derive consumption as Current Read minus Previous Read; null-safe to prevent errors on missing read data</t>
  </si>
  <si>
    <t>Table.AddColumn(Source, "Consumption", each if [CurrentRead] = null or [PreviousRead] = null then null else [CurrentRead] - [PreviousRead], Int64.Type)</t>
  </si>
  <si>
    <t>PrevRead: 48200 | CurrRead: 49520  (one row has null CurrRead)</t>
  </si>
  <si>
    <t>Consumption: 1320  |  null (null-safe — no error thrown)</t>
  </si>
  <si>
    <t>Without null check, subtraction on null throws Expression.Error. Always guard nulls before arithmetic in M</t>
  </si>
  <si>
    <t>Join Meter Reads to Customer Master</t>
  </si>
  <si>
    <t>Merge meter read table with customer master on AccountID to enrich with customer name, rate code, and service address</t>
  </si>
  <si>
    <t>Table.NestedJoin(MeterReads, "AccountID", CustomerMaster, "AccountID", "CustomerInfo", JoinKind.LeftOuter)</t>
  </si>
  <si>
    <t>MeterReads: AccountID=TECO-10001 | CustomerMaster: AccountID=TECO-10001, Name=Sandra Mitchell, RateCode=RS-1</t>
  </si>
  <si>
    <t>Merged row: TECO-10001 | Sandra Mitchell | RS-1 | 49520</t>
  </si>
  <si>
    <t>Left join keeps all meter reads even if no match in customer master — unmatched rows have null customer fields. Always expand nested column after merge with Table.ExpandTableColumn</t>
  </si>
  <si>
    <t>Flag Negative Consumption</t>
  </si>
  <si>
    <t>Identify reversed meter reads where consumption is negative — indicates meter rollback, tamper, or data entry error</t>
  </si>
  <si>
    <t>Table.AddColumn(Source, "DataQualityFlag", each if [Consumption] &lt; 0 then "REVERSED" else if [Consumption] = 0 then "ZERO_READ" else "OK", type text)</t>
  </si>
  <si>
    <t>Consumption: 1320, -450, 0, 890</t>
  </si>
  <si>
    <t>DataQualityFlag: OK, REVERSED, ZERO_READ, OK</t>
  </si>
  <si>
    <t>Zero-read may be legitimate (no usage) or missing — add ReadType check: MISSING only if ReadType=Actual AND Consumption=0</t>
  </si>
  <si>
    <t>Pivot Monthly kWh by Account (12 Months)</t>
  </si>
  <si>
    <t>Transpose monthly consumption data from tall format (one row per account-month) to wide format (one row per account, 12 month columns)</t>
  </si>
  <si>
    <t>Table.Pivot(Source, List.Distinct(Source[MonthYear]), "MonthYear", "Consumption", List.Sum)</t>
  </si>
  <si>
    <t>Tall: TECO-10001 | Jan-26 | 1150  /  TECO-10001 | Feb-26 | 980</t>
  </si>
  <si>
    <t>Wide: TECO-10001 | Jan-26: 1150 | Feb-26: 980 | ... | Dec-26: [value]</t>
  </si>
  <si>
    <t>If an account has no data for a month, pivot creates null — replace with 0 using Table.ReplaceValue after pivot. Also: month order in columns may be alphabetical, not chronological — sort source before pivoting</t>
  </si>
  <si>
    <t>8</t>
  </si>
  <si>
    <t>Rolling 3-Month Average Consumption</t>
  </si>
  <si>
    <t>Calculate each account's prior 3-month average kWh for spike detection baseline — requires partitioning by AccountID</t>
  </si>
  <si>
    <t>Table.AddColumn(Source, "Avg3Mo", each List.Average(List.LastN(Table.SelectRows(Source, (r) =&gt; r[AccountID] = [AccountID] and r[ReadDate] &lt; [ReadDate])[Consumption], 3)))</t>
  </si>
  <si>
    <t>AccountID: TECO-10001 | Months: Jun=1100, Jul=980, Aug=1320 (current)</t>
  </si>
  <si>
    <t>Avg3Mo: 1040 (average of prior 3 months excluding current)</t>
  </si>
  <si>
    <t>Self-referencing table in M is slow on large datasets — consider grouping first with Table.Group, then expanding. This pattern does not scale to 800K accounts without significant refresh time</t>
  </si>
  <si>
    <t>9</t>
  </si>
  <si>
    <t>Parse Outage Duration from Timestamps</t>
  </si>
  <si>
    <t>Calculate outage duration in minutes by subtracting StartTime from EndTime — handles datetime arithmetic for SAIDI calculation</t>
  </si>
  <si>
    <t>Table.AddColumn(Source, "DurationMin", each Duration.TotalMinutes([EndTime] - [StartTime]), type number)</t>
  </si>
  <si>
    <t>StartTime: 2026-08-02 17:00:00 | EndTime: 2026-08-02 25:30:00 (next day: 01:30)</t>
  </si>
  <si>
    <t>DurationMin: 510</t>
  </si>
  <si>
    <t>If timestamps are stored as text, Duration arithmetic fails — cast with DateTime.FromText first. Also watch for timezone offsets if outage spans DST change</t>
  </si>
  <si>
    <t>10</t>
  </si>
  <si>
    <t>Group Outages by Circuit and Sum CMI</t>
  </si>
  <si>
    <t>Aggregate outage events by Circuit ID to calculate total Customer-Minutes Interrupted per circuit for reliability analysis</t>
  </si>
  <si>
    <t>Table.Group(Source, {"CircuitID"}, {{"TotalCMI", each List.Sum([CMI]), Int64.Type}, {"EventCount", each Table.RowCount(_), Int32.Type}})</t>
  </si>
  <si>
    <t>Rows: CKT-4412|3200 CMI  /  CKT-4412|7680 CMI  /  CKT-2201|38250 CMI</t>
  </si>
  <si>
    <t>Grouped: CKT-4412 | TotalCMI: 10880 | EventCount: 2  /  CKT-2201 | TotalCMI: 38250 | EventCount: 1</t>
  </si>
  <si>
    <t>Table.Group with List.Sum treats null as 0 by default — confirm null handling matches business rule. Use List.Sum with explicit null check if needed</t>
  </si>
  <si>
    <t>11</t>
  </si>
  <si>
    <t>Merge Billing Data with Rate Code Table</t>
  </si>
  <si>
    <t>Join billing transactions to rate code reference table to apply correct energy rate, demand rate, and base charge per rate class</t>
  </si>
  <si>
    <t>Table.NestedJoin(BillingData, "RateCode", RateCodeTable, "RateCode", "RateInfo", JoinKind.LeftOuter)</t>
  </si>
  <si>
    <t>BillingData: TECO-10001 | RS-1 | 1320 kWh  /  RateCodeTable: RS-1 | $0.08456/kWh | $6.65 base</t>
  </si>
  <si>
    <t>Merged: TECO-10001 | RS-1 | 1320 kWh | EnergyRate: 0.08456 | BaseCharge: 6.65</t>
  </si>
  <si>
    <t>Rate code mismatches (e.g., RS1 vs RS-1) cause all-null merge results. Always normalize rate codes with Text.Trim and Text.Upper before joining</t>
  </si>
  <si>
    <t>12</t>
  </si>
  <si>
    <t>Export Cleaned Data with Audit Timestamp</t>
  </si>
  <si>
    <t>Write final cleaned dataset to staging table and append an audit column with load timestamp for data lineage tracking</t>
  </si>
  <si>
    <t>Table.AddColumn(CleanedData, "LoadTimestamp", each DateTime.LocalNow(), type datetime)</t>
  </si>
  <si>
    <t>Cleaned 25-row meter read dataset with all quality flags resolved</t>
  </si>
  <si>
    <t>25-row output with new column LoadTimestamp: 2026-09-18 15:22:00 (current run time)</t>
  </si>
  <si>
    <t>DateTime.LocalNow() captures machine time — use DateTimeZone.UtcNow() for consistency across servers in different time zones. Stamp should be added as last step to reflect actual load time</t>
  </si>
  <si>
    <t>TABLE 2 — Power Query Best Practices for TECO Data</t>
  </si>
  <si>
    <t>Best Practice</t>
  </si>
  <si>
    <t>Rationale</t>
  </si>
  <si>
    <t>Example / TECO Context</t>
  </si>
  <si>
    <t>Risk if Ignored</t>
  </si>
  <si>
    <t>Always cast column types explicitly after each transformation</t>
  </si>
  <si>
    <t>Power Query infers types based on sample data — inferences can change when data changes, breaking downstream calculations</t>
  </si>
  <si>
    <t>After loading meter reads CSV, immediately cast: MeterID as text, ReadDate as date, CurrRead as Int64</t>
  </si>
  <si>
    <t>Type inference errors silently convert numeric meter IDs to dates or nulls, corrupting join keys</t>
  </si>
  <si>
    <t>Use Table.Buffer() before self-referencing table operations</t>
  </si>
  <si>
    <t>Unbuffered self-references re-evaluate the entire table for each row, causing exponential refresh times</t>
  </si>
  <si>
    <t>Buffer the meter reads table before computing rolling 3-month averages: BufferedMR = Table.Buffer(MeterReads)</t>
  </si>
  <si>
    <t>Without buffering, 800K-row meter read table with rolling avg calculation can take hours instead of minutes</t>
  </si>
  <si>
    <t>Normalize all key columns before joins (trim, uppercase, remove dashes)</t>
  </si>
  <si>
    <t>TECO source systems may use RS-1, RS1, rs-1, or RS 1 for the same rate code — inconsistent keys break joins silently</t>
  </si>
  <si>
    <t>Text.Trim(Text.Upper([RateCode])) before joining billing to rate code table</t>
  </si>
  <si>
    <t>Left join on mismatched keys returns all-null rows for merged columns — billing calculations produce zeros</t>
  </si>
  <si>
    <t>Always sort time-series data by date before pivoting or windowing</t>
  </si>
  <si>
    <t>Power Query pivot and rolling window functions depend on row order — unsorted data produces incorrect month assignments</t>
  </si>
  <si>
    <t>Sort meter reads by AccountID then ReadDate ASC before pivoting to wide monthly format</t>
  </si>
  <si>
    <t>Pivot columns appear in random order; rolling averages include wrong months</t>
  </si>
  <si>
    <t>Use DateTimeZone.UtcNow() for audit timestamps, not DateTime.LocalNow()</t>
  </si>
  <si>
    <t>TECO data infrastructure spans multiple servers — local time varies by server timezone and DST changes</t>
  </si>
  <si>
    <t>Add audit column: DateTimeZone.UtcNow() converted to Eastern for display: DateTimeZone.SwitchZone(...,-4,0)</t>
  </si>
  <si>
    <t>Audit logs show inconsistent timestamps; DST-boundary records have duplicate or missing hour entries</t>
  </si>
  <si>
    <t>Disable auto-refresh on large datasets during development</t>
  </si>
  <si>
    <t>Each transformation step triggers a full data refresh in Power Query editor — slow on 800K+ row datasets</t>
  </si>
  <si>
    <t>Uncheck 'Allow data preview to refresh in background' in Power Query options during pipeline development</t>
  </si>
  <si>
    <t>Developer waiting 5+ minutes per step, increasing risk of abandoned work and incomplete error checking</t>
  </si>
  <si>
    <t>Document all transformation steps with renamed step names</t>
  </si>
  <si>
    <t>Default step names (Changed Type, Removed Columns) provide no business context for future maintainers</t>
  </si>
  <si>
    <t>Rename steps: 'RemovedDuplicateMeterReads', 'FlaggedNegativeConsumption', 'MergedCustomerMaster'</t>
  </si>
  <si>
    <t>Future analyst cannot understand pipeline logic without running each step; maintenance time doubles</t>
  </si>
  <si>
    <t>Use parameters for file paths and date ranges</t>
  </si>
  <si>
    <t>Hardcoded file paths and date ranges break pipeline when source location changes or date range rolls forward</t>
  </si>
  <si>
    <t>Create Power Query parameters: FilePath = '\\teco-datalake\meterreads\', ReportMonth = date(2026,9,1)</t>
  </si>
  <si>
    <t>Pipeline fails silently or produces wrong date range after month-end roll; requires code edit not just parameter update</t>
  </si>
  <si>
    <t>Validate row counts at each major join step</t>
  </si>
  <si>
    <t>Unexpected row count changes after a join indicate key mismatches, duplicates, or data loss</t>
  </si>
  <si>
    <t>Add a diagnostic step: Table.RowCount(AfterJoin) vs Table.RowCount(BeforeJoin) — flag if count changes unexpectedly</t>
  </si>
  <si>
    <t>Silent data loss: 50K meter reads reduced to 48K after join due to unmatched AccountIDs — billing runs on incomplete data</t>
  </si>
  <si>
    <t>Use Table.SelectColumns() to drop unused columns early in the pipeline</t>
  </si>
  <si>
    <t>Carrying unnecessary columns through all transformation steps increases memory usage and slows refresh</t>
  </si>
  <si>
    <t>After loading meter reads, immediately select only needed columns: MeterID, AccountID, ReadDate, PrevRead, CurrRead, ReadType</t>
  </si>
  <si>
    <t>Large refresh times; memory pressure causes Power Query to crash on full TECO dataset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</si>
</sst>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\x"/>
    <numFmt numFmtId="165" formatCode="\$#,##0.00"/>
    <numFmt numFmtId="166" formatCode="0.0%"/>
    <numFmt numFmtId="167" formatCode="yyyy\-mm\-dd"/>
    <numFmt numFmtId="168" formatCode="#,##0.0"/>
    <numFmt numFmtId="169" formatCode="yyyy\-mm\-dd\ hh:mm"/>
    <numFmt numFmtId="170" formatCode="0.0000"/>
    <numFmt numFmtId="171" formatCode="0.0"/>
    <numFmt numFmtId="172" formatCode="\$#,##0.00000"/>
  </numFmts>
  <fonts count="21" x14ac:knownFonts="1">
    <font>
      <sz val="11"/>
      <color theme="1"/>
      <name val="Calibri"/>
      <family val="2"/>
      <scheme val="minor"/>
    </font>
    <font>
      <b/>
      <sz val="20"/>
      <color rgb="FFFFFFFF"/>
      <name val="Calibri"/>
    </font>
    <font>
      <b/>
      <sz val="13"/>
      <color rgb="FF003087"/>
      <name val="Calibri"/>
    </font>
    <font>
      <i/>
      <sz val="10"/>
      <color rgb="FF003087"/>
      <name val="Calibri"/>
    </font>
    <font>
      <b/>
      <sz val="11"/>
      <color rgb="FFFFFFFF"/>
      <name val="Calibri"/>
    </font>
    <font>
      <sz val="12"/>
      <color theme="10"/>
      <name val="Calibri"/>
      <family val="2"/>
      <scheme val="minor"/>
    </font>
    <font>
      <b/>
      <sz val="11"/>
      <color rgb="FF003087"/>
      <name val="Calibri"/>
    </font>
    <font>
      <b/>
      <sz val="11"/>
      <color rgb="FFFFFFFF"/>
      <name val="Calibri"/>
    </font>
    <font>
      <b/>
      <sz val="11"/>
      <name val="Calibri"/>
    </font>
    <font>
      <b/>
      <sz val="16"/>
      <color rgb="FFFFFFFF"/>
      <name val="Calibri"/>
    </font>
    <font>
      <i/>
      <sz val="9"/>
      <color rgb="FF003087"/>
      <name val="Calibri"/>
    </font>
    <font>
      <b/>
      <sz val="11"/>
      <color rgb="FF006100"/>
      <name val="Calibri"/>
    </font>
    <font>
      <b/>
      <sz val="12"/>
      <color rgb="FFFFFFFF"/>
      <name val="Calibri"/>
    </font>
    <font>
      <b/>
      <sz val="10"/>
      <color rgb="FF003087"/>
      <name val="Calibri"/>
    </font>
    <font>
      <b/>
      <sz val="11"/>
      <color rgb="FFC55A11"/>
      <name val="Calibri"/>
    </font>
    <font>
      <b/>
      <sz val="11"/>
      <color rgb="FF7030A0"/>
      <name val="Calibri"/>
    </font>
    <font>
      <b/>
      <sz val="11"/>
      <color rgb="FF9C5700"/>
      <name val="Calibri"/>
    </font>
    <font>
      <b/>
      <sz val="11"/>
      <color rgb="FF9C0006"/>
      <name val="Calibri"/>
    </font>
    <font>
      <b/>
      <sz val="13"/>
      <color rgb="FFFFFFFF"/>
      <name val="Calibri"/>
    </font>
    <font>
      <i/>
      <sz val="9"/>
      <color rgb="FF595959"/>
      <name val="Calibri"/>
    </font>
    <font>
      <b/>
      <sz val="11"/>
      <color rgb="FF003087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003087"/>
        <bgColor rgb="FF003087"/>
      </patternFill>
    </fill>
    <fill>
      <patternFill patternType="solid">
        <fgColor rgb="FFFFB81C"/>
        <bgColor rgb="FFFFB81C"/>
      </patternFill>
    </fill>
    <fill>
      <patternFill patternType="solid">
        <fgColor rgb="FFD6E4F0"/>
        <bgColor rgb="FFD6E4F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C6EFCE"/>
        <bgColor rgb="FFC6EFCE"/>
      </patternFill>
    </fill>
    <fill>
      <patternFill patternType="solid">
        <fgColor rgb="FFF8F8F8"/>
        <bgColor rgb="FFF8F8F8"/>
      </patternFill>
    </fill>
    <fill>
      <patternFill patternType="solid">
        <fgColor rgb="FFFCE4D6"/>
        <bgColor rgb="FFFCE4D6"/>
      </patternFill>
    </fill>
    <fill>
      <patternFill patternType="solid">
        <fgColor rgb="FFE8D5F5"/>
        <bgColor rgb="FFE8D5F5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FFF2CC"/>
        <bgColor rgb="FFFFF2CC"/>
      </patternFill>
    </fill>
    <fill>
      <patternFill patternType="solid">
        <fgColor rgb="FFFFF9E6"/>
        <bgColor rgb="FFFFF9E6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/>
  </cellStyleXfs>
  <cellXfs count="113">
    <xf numFmtId="0" fontId="0" fillId="0" borderId="0" xfId="0"/>
    <xf numFmtId="0" fontId="4" fillId="2" borderId="2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horizontal="left"/>
    </xf>
    <xf numFmtId="0" fontId="6" fillId="3" borderId="1" xfId="1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" xfId="0" applyFill="1" applyBorder="1" applyAlignment="1">
      <alignment horizontal="left"/>
    </xf>
    <xf numFmtId="0" fontId="6" fillId="3" borderId="1" xfId="0" applyFont="1" applyFill="1" applyBorder="1" applyAlignment="1">
      <alignment horizontal="center"/>
    </xf>
    <xf numFmtId="0" fontId="8" fillId="5" borderId="1" xfId="0" applyFont="1" applyFill="1" applyBorder="1"/>
    <xf numFmtId="0" fontId="0" fillId="5" borderId="1" xfId="0" applyFill="1" applyBorder="1"/>
    <xf numFmtId="0" fontId="8" fillId="6" borderId="1" xfId="0" applyFont="1" applyFill="1" applyBorder="1"/>
    <xf numFmtId="0" fontId="0" fillId="6" borderId="1" xfId="0" applyFill="1" applyBorder="1"/>
    <xf numFmtId="3" fontId="0" fillId="5" borderId="1" xfId="0" applyNumberFormat="1" applyFill="1" applyBorder="1"/>
    <xf numFmtId="164" fontId="0" fillId="5" borderId="1" xfId="0" applyNumberFormat="1" applyFill="1" applyBorder="1"/>
    <xf numFmtId="165" fontId="0" fillId="5" borderId="1" xfId="0" applyNumberFormat="1" applyFill="1" applyBorder="1"/>
    <xf numFmtId="0" fontId="11" fillId="7" borderId="1" xfId="0" applyFont="1" applyFill="1" applyBorder="1" applyAlignment="1">
      <alignment horizontal="center"/>
    </xf>
    <xf numFmtId="3" fontId="0" fillId="6" borderId="1" xfId="0" applyNumberFormat="1" applyFill="1" applyBorder="1"/>
    <xf numFmtId="164" fontId="0" fillId="6" borderId="1" xfId="0" applyNumberFormat="1" applyFill="1" applyBorder="1"/>
    <xf numFmtId="165" fontId="0" fillId="6" borderId="1" xfId="0" applyNumberFormat="1" applyFill="1" applyBorder="1"/>
    <xf numFmtId="1" fontId="0" fillId="5" borderId="1" xfId="0" applyNumberFormat="1" applyFill="1" applyBorder="1"/>
    <xf numFmtId="1" fontId="0" fillId="6" borderId="1" xfId="0" applyNumberFormat="1" applyFill="1" applyBorder="1"/>
    <xf numFmtId="2" fontId="0" fillId="6" borderId="1" xfId="0" applyNumberFormat="1" applyFill="1" applyBorder="1"/>
    <xf numFmtId="2" fontId="0" fillId="5" borderId="1" xfId="0" applyNumberFormat="1" applyFill="1" applyBorder="1"/>
    <xf numFmtId="166" fontId="0" fillId="5" borderId="1" xfId="0" applyNumberFormat="1" applyFill="1" applyBorder="1"/>
    <xf numFmtId="0" fontId="4" fillId="2" borderId="1" xfId="0" applyFont="1" applyFill="1" applyBorder="1" applyAlignment="1">
      <alignment horizontal="center"/>
    </xf>
    <xf numFmtId="166" fontId="0" fillId="6" borderId="1" xfId="0" applyNumberFormat="1" applyFill="1" applyBorder="1"/>
    <xf numFmtId="0" fontId="4" fillId="2" borderId="2" xfId="0" applyFont="1" applyFill="1" applyBorder="1" applyAlignment="1">
      <alignment horizontal="center" wrapText="1"/>
    </xf>
    <xf numFmtId="167" fontId="0" fillId="5" borderId="1" xfId="0" applyNumberFormat="1" applyFill="1" applyBorder="1"/>
    <xf numFmtId="168" fontId="0" fillId="5" borderId="1" xfId="0" applyNumberFormat="1" applyFill="1" applyBorder="1"/>
    <xf numFmtId="0" fontId="0" fillId="8" borderId="1" xfId="0" applyFill="1" applyBorder="1"/>
    <xf numFmtId="167" fontId="0" fillId="8" borderId="1" xfId="0" applyNumberFormat="1" applyFill="1" applyBorder="1"/>
    <xf numFmtId="3" fontId="0" fillId="8" borderId="1" xfId="0" applyNumberFormat="1" applyFill="1" applyBorder="1"/>
    <xf numFmtId="168" fontId="0" fillId="8" borderId="1" xfId="0" applyNumberFormat="1" applyFill="1" applyBorder="1"/>
    <xf numFmtId="166" fontId="0" fillId="8" borderId="1" xfId="0" applyNumberFormat="1" applyFill="1" applyBorder="1"/>
    <xf numFmtId="0" fontId="14" fillId="9" borderId="1" xfId="0" applyFont="1" applyFill="1" applyBorder="1" applyAlignment="1">
      <alignment horizontal="center"/>
    </xf>
    <xf numFmtId="0" fontId="15" fillId="10" borderId="1" xfId="0" applyFont="1" applyFill="1" applyBorder="1" applyAlignment="1">
      <alignment horizontal="center"/>
    </xf>
    <xf numFmtId="0" fontId="16" fillId="11" borderId="1" xfId="0" applyFont="1" applyFill="1" applyBorder="1" applyAlignment="1">
      <alignment horizontal="center"/>
    </xf>
    <xf numFmtId="0" fontId="17" fillId="12" borderId="1" xfId="0" applyFont="1" applyFill="1" applyBorder="1" applyAlignment="1">
      <alignment horizontal="center"/>
    </xf>
    <xf numFmtId="0" fontId="14" fillId="9" borderId="1" xfId="0" applyFont="1" applyFill="1" applyBorder="1"/>
    <xf numFmtId="0" fontId="0" fillId="9" borderId="1" xfId="0" applyFill="1" applyBorder="1"/>
    <xf numFmtId="166" fontId="0" fillId="9" borderId="1" xfId="0" applyNumberFormat="1" applyFill="1" applyBorder="1"/>
    <xf numFmtId="0" fontId="17" fillId="12" borderId="1" xfId="0" applyFont="1" applyFill="1" applyBorder="1"/>
    <xf numFmtId="0" fontId="0" fillId="12" borderId="1" xfId="0" applyFill="1" applyBorder="1"/>
    <xf numFmtId="166" fontId="0" fillId="12" borderId="1" xfId="0" applyNumberFormat="1" applyFill="1" applyBorder="1"/>
    <xf numFmtId="0" fontId="16" fillId="11" borderId="1" xfId="0" applyFont="1" applyFill="1" applyBorder="1"/>
    <xf numFmtId="0" fontId="0" fillId="11" borderId="1" xfId="0" applyFill="1" applyBorder="1"/>
    <xf numFmtId="166" fontId="0" fillId="11" borderId="1" xfId="0" applyNumberFormat="1" applyFill="1" applyBorder="1"/>
    <xf numFmtId="0" fontId="15" fillId="10" borderId="1" xfId="0" applyFont="1" applyFill="1" applyBorder="1"/>
    <xf numFmtId="0" fontId="0" fillId="10" borderId="1" xfId="0" applyFill="1" applyBorder="1"/>
    <xf numFmtId="166" fontId="0" fillId="10" borderId="1" xfId="0" applyNumberFormat="1" applyFill="1" applyBorder="1"/>
    <xf numFmtId="0" fontId="11" fillId="7" borderId="1" xfId="0" applyFont="1" applyFill="1" applyBorder="1"/>
    <xf numFmtId="0" fontId="0" fillId="7" borderId="1" xfId="0" applyFill="1" applyBorder="1"/>
    <xf numFmtId="166" fontId="0" fillId="7" borderId="1" xfId="0" applyNumberFormat="1" applyFill="1" applyBorder="1"/>
    <xf numFmtId="0" fontId="8" fillId="0" borderId="1" xfId="0" applyFont="1" applyBorder="1"/>
    <xf numFmtId="0" fontId="0" fillId="0" borderId="1" xfId="0" applyBorder="1"/>
    <xf numFmtId="166" fontId="0" fillId="0" borderId="1" xfId="0" applyNumberFormat="1" applyBorder="1"/>
    <xf numFmtId="3" fontId="0" fillId="0" borderId="1" xfId="0" applyNumberFormat="1" applyBorder="1"/>
    <xf numFmtId="0" fontId="6" fillId="3" borderId="0" xfId="0" applyFont="1" applyFill="1"/>
    <xf numFmtId="3" fontId="6" fillId="3" borderId="0" xfId="0" applyNumberFormat="1" applyFont="1" applyFill="1"/>
    <xf numFmtId="169" fontId="0" fillId="5" borderId="1" xfId="0" applyNumberFormat="1" applyFill="1" applyBorder="1"/>
    <xf numFmtId="170" fontId="0" fillId="5" borderId="1" xfId="0" applyNumberFormat="1" applyFill="1" applyBorder="1"/>
    <xf numFmtId="167" fontId="0" fillId="6" borderId="1" xfId="0" applyNumberFormat="1" applyFill="1" applyBorder="1"/>
    <xf numFmtId="169" fontId="0" fillId="6" borderId="1" xfId="0" applyNumberFormat="1" applyFill="1" applyBorder="1"/>
    <xf numFmtId="170" fontId="0" fillId="6" borderId="1" xfId="0" applyNumberFormat="1" applyFill="1" applyBorder="1"/>
    <xf numFmtId="3" fontId="17" fillId="12" borderId="1" xfId="0" applyNumberFormat="1" applyFont="1" applyFill="1" applyBorder="1"/>
    <xf numFmtId="171" fontId="0" fillId="5" borderId="1" xfId="0" applyNumberFormat="1" applyFill="1" applyBorder="1"/>
    <xf numFmtId="171" fontId="0" fillId="6" borderId="1" xfId="0" applyNumberFormat="1" applyFill="1" applyBorder="1"/>
    <xf numFmtId="0" fontId="19" fillId="0" borderId="0" xfId="0" applyFont="1"/>
    <xf numFmtId="3" fontId="0" fillId="0" borderId="0" xfId="0" applyNumberFormat="1"/>
    <xf numFmtId="0" fontId="6" fillId="13" borderId="1" xfId="0" applyFont="1" applyFill="1" applyBorder="1"/>
    <xf numFmtId="172" fontId="0" fillId="13" borderId="1" xfId="0" applyNumberFormat="1" applyFill="1" applyBorder="1"/>
    <xf numFmtId="0" fontId="0" fillId="13" borderId="1" xfId="0" applyFill="1" applyBorder="1"/>
    <xf numFmtId="0" fontId="6" fillId="14" borderId="1" xfId="0" applyFont="1" applyFill="1" applyBorder="1"/>
    <xf numFmtId="172" fontId="0" fillId="14" borderId="1" xfId="0" applyNumberFormat="1" applyFill="1" applyBorder="1"/>
    <xf numFmtId="0" fontId="0" fillId="14" borderId="1" xfId="0" applyFill="1" applyBorder="1"/>
    <xf numFmtId="0" fontId="4" fillId="2" borderId="10" xfId="0" applyFont="1" applyFill="1" applyBorder="1" applyAlignment="1">
      <alignment horizontal="center" wrapText="1"/>
    </xf>
    <xf numFmtId="0" fontId="4" fillId="2" borderId="11" xfId="0" applyFont="1" applyFill="1" applyBorder="1" applyAlignment="1">
      <alignment horizontal="center" wrapText="1"/>
    </xf>
    <xf numFmtId="0" fontId="0" fillId="5" borderId="12" xfId="0" applyFill="1" applyBorder="1"/>
    <xf numFmtId="166" fontId="0" fillId="5" borderId="13" xfId="0" applyNumberFormat="1" applyFill="1" applyBorder="1"/>
    <xf numFmtId="0" fontId="0" fillId="6" borderId="12" xfId="0" applyFill="1" applyBorder="1"/>
    <xf numFmtId="166" fontId="0" fillId="6" borderId="13" xfId="0" applyNumberFormat="1" applyFill="1" applyBorder="1"/>
    <xf numFmtId="0" fontId="0" fillId="5" borderId="10" xfId="0" applyFill="1" applyBorder="1"/>
    <xf numFmtId="0" fontId="0" fillId="5" borderId="2" xfId="0" applyFill="1" applyBorder="1"/>
    <xf numFmtId="3" fontId="0" fillId="5" borderId="2" xfId="0" applyNumberFormat="1" applyFill="1" applyBorder="1"/>
    <xf numFmtId="165" fontId="0" fillId="5" borderId="2" xfId="0" applyNumberFormat="1" applyFill="1" applyBorder="1"/>
    <xf numFmtId="166" fontId="0" fillId="5" borderId="11" xfId="0" applyNumberFormat="1" applyFill="1" applyBorder="1"/>
    <xf numFmtId="0" fontId="8" fillId="5" borderId="12" xfId="0" applyFont="1" applyFill="1" applyBorder="1" applyAlignment="1">
      <alignment horizontal="center"/>
    </xf>
    <xf numFmtId="0" fontId="0" fillId="5" borderId="1" xfId="0" applyFill="1" applyBorder="1" applyAlignment="1">
      <alignment vertical="top" wrapText="1"/>
    </xf>
    <xf numFmtId="0" fontId="0" fillId="5" borderId="13" xfId="0" applyFill="1" applyBorder="1" applyAlignment="1">
      <alignment vertical="top" wrapText="1"/>
    </xf>
    <xf numFmtId="0" fontId="8" fillId="6" borderId="12" xfId="0" applyFont="1" applyFill="1" applyBorder="1" applyAlignment="1">
      <alignment horizontal="center"/>
    </xf>
    <xf numFmtId="0" fontId="0" fillId="6" borderId="1" xfId="0" applyFill="1" applyBorder="1" applyAlignment="1">
      <alignment vertical="top" wrapText="1"/>
    </xf>
    <xf numFmtId="0" fontId="0" fillId="6" borderId="13" xfId="0" applyFill="1" applyBorder="1" applyAlignment="1">
      <alignment vertical="top" wrapText="1"/>
    </xf>
    <xf numFmtId="0" fontId="8" fillId="6" borderId="10" xfId="0" applyFont="1" applyFill="1" applyBorder="1" applyAlignment="1">
      <alignment horizontal="center"/>
    </xf>
    <xf numFmtId="0" fontId="0" fillId="6" borderId="2" xfId="0" applyFill="1" applyBorder="1" applyAlignment="1">
      <alignment vertical="top" wrapText="1"/>
    </xf>
    <xf numFmtId="0" fontId="0" fillId="6" borderId="11" xfId="0" applyFill="1" applyBorder="1" applyAlignment="1">
      <alignment vertical="top" wrapText="1"/>
    </xf>
    <xf numFmtId="0" fontId="3" fillId="4" borderId="0" xfId="0" applyFont="1" applyFill="1" applyAlignment="1">
      <alignment horizontal="center"/>
    </xf>
    <xf numFmtId="0" fontId="0" fillId="0" borderId="0" xfId="0"/>
    <xf numFmtId="0" fontId="2" fillId="3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0" fillId="3" borderId="0" xfId="0" applyFont="1" applyFill="1" applyAlignment="1">
      <alignment horizontal="center"/>
    </xf>
    <xf numFmtId="0" fontId="13" fillId="3" borderId="3" xfId="0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9" fillId="2" borderId="0" xfId="0" applyFont="1" applyFill="1" applyAlignment="1">
      <alignment horizontal="center"/>
    </xf>
    <xf numFmtId="0" fontId="12" fillId="2" borderId="3" xfId="0" applyFont="1" applyFill="1" applyBorder="1" applyAlignment="1">
      <alignment horizontal="center"/>
    </xf>
    <xf numFmtId="0" fontId="18" fillId="2" borderId="3" xfId="0" applyFont="1" applyFill="1" applyBorder="1" applyAlignment="1">
      <alignment horizontal="center"/>
    </xf>
    <xf numFmtId="0" fontId="19" fillId="0" borderId="0" xfId="0" applyFont="1"/>
    <xf numFmtId="0" fontId="20" fillId="13" borderId="3" xfId="0" applyFont="1" applyFill="1" applyBorder="1" applyAlignment="1">
      <alignment horizontal="center"/>
    </xf>
    <xf numFmtId="0" fontId="12" fillId="2" borderId="7" xfId="0" applyFont="1" applyFill="1" applyBorder="1" applyAlignment="1">
      <alignment horizontal="center"/>
    </xf>
    <xf numFmtId="0" fontId="0" fillId="0" borderId="4" xfId="0" applyBorder="1"/>
    <xf numFmtId="0" fontId="0" fillId="0" borderId="8" xfId="0" applyBorder="1"/>
    <xf numFmtId="0" fontId="0" fillId="0" borderId="9" xfId="0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 sz="1100" b="1"/>
              <a:t>Current vs Prior Avg kWh by Account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'1-Billing Spikes'!$D$3</c:f>
              <c:strCache>
                <c:ptCount val="1"/>
                <c:pt idx="0">
                  <c:v>Prior 3-Mo Avg kWh</c:v>
                </c:pt>
              </c:strCache>
            </c:strRef>
          </c:tx>
          <c:spPr>
            <a:solidFill>
              <a:srgbClr val="003087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'1-Billing Spikes'!$A$4:$A$23</c:f>
              <c:strCache>
                <c:ptCount val="20"/>
                <c:pt idx="0">
                  <c:v>TECO-10001</c:v>
                </c:pt>
                <c:pt idx="1">
                  <c:v>TECO-10002</c:v>
                </c:pt>
                <c:pt idx="2">
                  <c:v>TECO-10003</c:v>
                </c:pt>
                <c:pt idx="3">
                  <c:v>TECO-10004</c:v>
                </c:pt>
                <c:pt idx="4">
                  <c:v>TECO-10005</c:v>
                </c:pt>
                <c:pt idx="5">
                  <c:v>TECO-10006</c:v>
                </c:pt>
                <c:pt idx="6">
                  <c:v>TECO-10007</c:v>
                </c:pt>
                <c:pt idx="7">
                  <c:v>TECO-10008</c:v>
                </c:pt>
                <c:pt idx="8">
                  <c:v>TECO-10009</c:v>
                </c:pt>
                <c:pt idx="9">
                  <c:v>TECO-10010</c:v>
                </c:pt>
                <c:pt idx="10">
                  <c:v>TECO-10011</c:v>
                </c:pt>
                <c:pt idx="11">
                  <c:v>TECO-10012</c:v>
                </c:pt>
                <c:pt idx="12">
                  <c:v>TECO-10013</c:v>
                </c:pt>
                <c:pt idx="13">
                  <c:v>TECO-10014</c:v>
                </c:pt>
                <c:pt idx="14">
                  <c:v>TECO-10015</c:v>
                </c:pt>
                <c:pt idx="15">
                  <c:v>TECO-10016</c:v>
                </c:pt>
                <c:pt idx="16">
                  <c:v>TECO-10017</c:v>
                </c:pt>
                <c:pt idx="17">
                  <c:v>TECO-10018</c:v>
                </c:pt>
                <c:pt idx="18">
                  <c:v>TECO-10019</c:v>
                </c:pt>
                <c:pt idx="19">
                  <c:v>TECO-10020</c:v>
                </c:pt>
              </c:strCache>
            </c:strRef>
          </c:cat>
          <c:val>
            <c:numRef>
              <c:f>'1-Billing Spikes'!$D$4:$D$23</c:f>
              <c:numCache>
                <c:formatCode>#,##0</c:formatCode>
                <c:ptCount val="20"/>
                <c:pt idx="0">
                  <c:v>1150</c:v>
                </c:pt>
                <c:pt idx="1">
                  <c:v>980</c:v>
                </c:pt>
                <c:pt idx="2">
                  <c:v>1400</c:v>
                </c:pt>
                <c:pt idx="3">
                  <c:v>1050</c:v>
                </c:pt>
                <c:pt idx="4">
                  <c:v>870</c:v>
                </c:pt>
                <c:pt idx="5">
                  <c:v>4500</c:v>
                </c:pt>
                <c:pt idx="6">
                  <c:v>5200</c:v>
                </c:pt>
                <c:pt idx="7">
                  <c:v>3800</c:v>
                </c:pt>
                <c:pt idx="8">
                  <c:v>6100</c:v>
                </c:pt>
                <c:pt idx="9">
                  <c:v>4200</c:v>
                </c:pt>
                <c:pt idx="10">
                  <c:v>12000</c:v>
                </c:pt>
                <c:pt idx="11">
                  <c:v>15500</c:v>
                </c:pt>
                <c:pt idx="12">
                  <c:v>18000</c:v>
                </c:pt>
                <c:pt idx="13">
                  <c:v>11000</c:v>
                </c:pt>
                <c:pt idx="14">
                  <c:v>9500</c:v>
                </c:pt>
                <c:pt idx="15">
                  <c:v>380</c:v>
                </c:pt>
                <c:pt idx="16">
                  <c:v>290</c:v>
                </c:pt>
                <c:pt idx="17">
                  <c:v>510</c:v>
                </c:pt>
                <c:pt idx="18">
                  <c:v>42000</c:v>
                </c:pt>
                <c:pt idx="19">
                  <c:v>35000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FF6-4BC9-BCEB-05D429CC28CE}"/>
            </c:ext>
          </c:extLst>
        </c:ser>
        <c:ser>
          <c:idx val="1"/>
          <c:order val="1"/>
          <c:tx>
            <c:strRef>
              <c:f>'1-Billing Spikes'!$E$3</c:f>
              <c:strCache>
                <c:ptCount val="1"/>
                <c:pt idx="0">
                  <c:v>Current Month kWh</c:v>
                </c:pt>
              </c:strCache>
            </c:strRef>
          </c:tx>
          <c:spPr>
            <a:solidFill>
              <a:srgbClr val="FFB81C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'1-Billing Spikes'!$A$4:$A$23</c:f>
              <c:strCache>
                <c:ptCount val="20"/>
                <c:pt idx="0">
                  <c:v>TECO-10001</c:v>
                </c:pt>
                <c:pt idx="1">
                  <c:v>TECO-10002</c:v>
                </c:pt>
                <c:pt idx="2">
                  <c:v>TECO-10003</c:v>
                </c:pt>
                <c:pt idx="3">
                  <c:v>TECO-10004</c:v>
                </c:pt>
                <c:pt idx="4">
                  <c:v>TECO-10005</c:v>
                </c:pt>
                <c:pt idx="5">
                  <c:v>TECO-10006</c:v>
                </c:pt>
                <c:pt idx="6">
                  <c:v>TECO-10007</c:v>
                </c:pt>
                <c:pt idx="7">
                  <c:v>TECO-10008</c:v>
                </c:pt>
                <c:pt idx="8">
                  <c:v>TECO-10009</c:v>
                </c:pt>
                <c:pt idx="9">
                  <c:v>TECO-10010</c:v>
                </c:pt>
                <c:pt idx="10">
                  <c:v>TECO-10011</c:v>
                </c:pt>
                <c:pt idx="11">
                  <c:v>TECO-10012</c:v>
                </c:pt>
                <c:pt idx="12">
                  <c:v>TECO-10013</c:v>
                </c:pt>
                <c:pt idx="13">
                  <c:v>TECO-10014</c:v>
                </c:pt>
                <c:pt idx="14">
                  <c:v>TECO-10015</c:v>
                </c:pt>
                <c:pt idx="15">
                  <c:v>TECO-10016</c:v>
                </c:pt>
                <c:pt idx="16">
                  <c:v>TECO-10017</c:v>
                </c:pt>
                <c:pt idx="17">
                  <c:v>TECO-10018</c:v>
                </c:pt>
                <c:pt idx="18">
                  <c:v>TECO-10019</c:v>
                </c:pt>
                <c:pt idx="19">
                  <c:v>TECO-10020</c:v>
                </c:pt>
              </c:strCache>
            </c:strRef>
          </c:cat>
          <c:val>
            <c:numRef>
              <c:f>'1-Billing Spikes'!$E$4:$E$23</c:f>
              <c:numCache>
                <c:formatCode>#,##0</c:formatCode>
                <c:ptCount val="20"/>
                <c:pt idx="0">
                  <c:v>1320</c:v>
                </c:pt>
                <c:pt idx="1">
                  <c:v>2210</c:v>
                </c:pt>
                <c:pt idx="2">
                  <c:v>1380</c:v>
                </c:pt>
                <c:pt idx="3">
                  <c:v>1680</c:v>
                </c:pt>
                <c:pt idx="4">
                  <c:v>920</c:v>
                </c:pt>
                <c:pt idx="5">
                  <c:v>7900</c:v>
                </c:pt>
                <c:pt idx="6">
                  <c:v>5500</c:v>
                </c:pt>
                <c:pt idx="7">
                  <c:v>3950</c:v>
                </c:pt>
                <c:pt idx="8">
                  <c:v>10800</c:v>
                </c:pt>
                <c:pt idx="9">
                  <c:v>4350</c:v>
                </c:pt>
                <c:pt idx="10">
                  <c:v>19500</c:v>
                </c:pt>
                <c:pt idx="11">
                  <c:v>16200</c:v>
                </c:pt>
                <c:pt idx="12">
                  <c:v>18400</c:v>
                </c:pt>
                <c:pt idx="13">
                  <c:v>11200</c:v>
                </c:pt>
                <c:pt idx="14">
                  <c:v>15800</c:v>
                </c:pt>
                <c:pt idx="15">
                  <c:v>390</c:v>
                </c:pt>
                <c:pt idx="16">
                  <c:v>300</c:v>
                </c:pt>
                <c:pt idx="17">
                  <c:v>780</c:v>
                </c:pt>
                <c:pt idx="18">
                  <c:v>41500</c:v>
                </c:pt>
                <c:pt idx="19">
                  <c:v>75000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1FF6-4BC9-BCEB-05D429CC28CE}"/>
            </c:ext>
          </c:extLst>
        </c:ser>
        <c:dLbls>
          <c:showLegendKey val="1"/>
          <c:showVal val="0"/>
          <c:showCatName val="0"/>
          <c:showSerName val="0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000" b="1"/>
                  <a:t>Account 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000" b="0"/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000" b="1"/>
                  <a:t>kWh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txPr>
          <a:bodyPr/>
          <a:lstStyle/>
          <a:p>
            <a:pPr>
              <a:defRPr sz="1000" b="0"/>
            </a:pPr>
            <a:endParaRPr lang="en-US"/>
          </a:p>
        </c:txPr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sz="1000" b="0"/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 sz="1100" b="1"/>
              <a:t>CMI by Cause Category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'3-Outage KPIs'!$Q$3</c:f>
              <c:strCache>
                <c:ptCount val="1"/>
                <c:pt idx="0">
                  <c:v>Cause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numRef>
              <c:f>'3-Outage KPIs'!$P$4:$P$8</c:f>
              <c:numCache>
                <c:formatCode>General</c:formatCode>
                <c:ptCount val="5"/>
              </c:numCache>
            </c:numRef>
          </c:cat>
          <c:val>
            <c:numRef>
              <c:f>'3-Outage KPIs'!$Q$4:$Q$8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F6-4A82-9678-42B4C073E04C}"/>
            </c:ext>
          </c:extLst>
        </c:ser>
        <c:dLbls>
          <c:showLegendKey val="1"/>
          <c:showVal val="0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>
            <a:defRPr sz="1000" b="0"/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 sz="1100" b="1"/>
              <a:t>Cumulative SAIDI Over Time (min/customer)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'3-Outage KPIs'!$K$3</c:f>
              <c:strCache>
                <c:ptCount val="1"/>
                <c:pt idx="0">
                  <c:v>Cumulative
SAIDI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'3-Outage KPIs'!$A$4:$A$33</c:f>
              <c:strCache>
                <c:ptCount val="30"/>
                <c:pt idx="0">
                  <c:v>OUT-0001</c:v>
                </c:pt>
                <c:pt idx="1">
                  <c:v>OUT-0002</c:v>
                </c:pt>
                <c:pt idx="2">
                  <c:v>OUT-0003</c:v>
                </c:pt>
                <c:pt idx="3">
                  <c:v>OUT-0004</c:v>
                </c:pt>
                <c:pt idx="4">
                  <c:v>OUT-0005</c:v>
                </c:pt>
                <c:pt idx="5">
                  <c:v>OUT-0006</c:v>
                </c:pt>
                <c:pt idx="6">
                  <c:v>OUT-0007</c:v>
                </c:pt>
                <c:pt idx="7">
                  <c:v>OUT-0008</c:v>
                </c:pt>
                <c:pt idx="8">
                  <c:v>OUT-0009</c:v>
                </c:pt>
                <c:pt idx="9">
                  <c:v>OUT-0010</c:v>
                </c:pt>
                <c:pt idx="10">
                  <c:v>OUT-0011</c:v>
                </c:pt>
                <c:pt idx="11">
                  <c:v>OUT-0012</c:v>
                </c:pt>
                <c:pt idx="12">
                  <c:v>OUT-0013</c:v>
                </c:pt>
                <c:pt idx="13">
                  <c:v>OUT-0014</c:v>
                </c:pt>
                <c:pt idx="14">
                  <c:v>OUT-0015</c:v>
                </c:pt>
                <c:pt idx="15">
                  <c:v>OUT-0016</c:v>
                </c:pt>
                <c:pt idx="16">
                  <c:v>OUT-0017</c:v>
                </c:pt>
                <c:pt idx="17">
                  <c:v>OUT-0018</c:v>
                </c:pt>
                <c:pt idx="18">
                  <c:v>OUT-0019</c:v>
                </c:pt>
                <c:pt idx="19">
                  <c:v>OUT-0020</c:v>
                </c:pt>
                <c:pt idx="20">
                  <c:v>OUT-0021</c:v>
                </c:pt>
                <c:pt idx="21">
                  <c:v>OUT-0022</c:v>
                </c:pt>
                <c:pt idx="22">
                  <c:v>OUT-0023</c:v>
                </c:pt>
                <c:pt idx="23">
                  <c:v>OUT-0024</c:v>
                </c:pt>
                <c:pt idx="24">
                  <c:v>OUT-0025</c:v>
                </c:pt>
                <c:pt idx="25">
                  <c:v>OUT-0026</c:v>
                </c:pt>
                <c:pt idx="26">
                  <c:v>OUT-0027</c:v>
                </c:pt>
                <c:pt idx="27">
                  <c:v>OUT-0028</c:v>
                </c:pt>
                <c:pt idx="28">
                  <c:v>OUT-0029</c:v>
                </c:pt>
                <c:pt idx="29">
                  <c:v>OUT-0030</c:v>
                </c:pt>
              </c:strCache>
            </c:strRef>
          </c:cat>
          <c:val>
            <c:numRef>
              <c:f>'3-Outage KPIs'!$K$4:$K$33</c:f>
              <c:numCache>
                <c:formatCode>0.0000</c:formatCode>
                <c:ptCount val="30"/>
                <c:pt idx="0">
                  <c:v>0.38</c:v>
                </c:pt>
                <c:pt idx="1">
                  <c:v>0.42781249999999998</c:v>
                </c:pt>
                <c:pt idx="2">
                  <c:v>0.53281250000000002</c:v>
                </c:pt>
                <c:pt idx="3">
                  <c:v>0.62281249999999999</c:v>
                </c:pt>
                <c:pt idx="4">
                  <c:v>3.9165625000000004</c:v>
                </c:pt>
                <c:pt idx="5">
                  <c:v>3.9461250000000003</c:v>
                </c:pt>
                <c:pt idx="6">
                  <c:v>4.2873749999999999</c:v>
                </c:pt>
                <c:pt idx="7">
                  <c:v>6.6742499999999998</c:v>
                </c:pt>
                <c:pt idx="8">
                  <c:v>6.7722499999999997</c:v>
                </c:pt>
                <c:pt idx="9">
                  <c:v>6.8659999999999997</c:v>
                </c:pt>
                <c:pt idx="10">
                  <c:v>7.8285</c:v>
                </c:pt>
                <c:pt idx="11">
                  <c:v>8.0141249999999999</c:v>
                </c:pt>
                <c:pt idx="12">
                  <c:v>8.0588125000000002</c:v>
                </c:pt>
                <c:pt idx="13">
                  <c:v>8.1275624999999998</c:v>
                </c:pt>
                <c:pt idx="14">
                  <c:v>12.9575625</c:v>
                </c:pt>
                <c:pt idx="15">
                  <c:v>13.0115625</c:v>
                </c:pt>
                <c:pt idx="16">
                  <c:v>14.5415625</c:v>
                </c:pt>
                <c:pt idx="17">
                  <c:v>14.619375</c:v>
                </c:pt>
                <c:pt idx="18">
                  <c:v>14.675625</c:v>
                </c:pt>
                <c:pt idx="19">
                  <c:v>20.281874999999999</c:v>
                </c:pt>
                <c:pt idx="20">
                  <c:v>22.816875</c:v>
                </c:pt>
                <c:pt idx="21">
                  <c:v>23.0971875</c:v>
                </c:pt>
                <c:pt idx="22">
                  <c:v>23.134875000000001</c:v>
                </c:pt>
                <c:pt idx="23">
                  <c:v>23.301125000000003</c:v>
                </c:pt>
                <c:pt idx="24">
                  <c:v>32.226125000000003</c:v>
                </c:pt>
                <c:pt idx="25">
                  <c:v>32.304875000000003</c:v>
                </c:pt>
                <c:pt idx="26">
                  <c:v>32.385625000000005</c:v>
                </c:pt>
                <c:pt idx="27">
                  <c:v>32.451625000000007</c:v>
                </c:pt>
                <c:pt idx="28">
                  <c:v>33.962875000000004</c:v>
                </c:pt>
                <c:pt idx="29">
                  <c:v>34.365375000000007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2AA-485F-81A2-B739396050DC}"/>
            </c:ext>
          </c:extLst>
        </c:ser>
        <c:dLbls>
          <c:showLegendKey val="1"/>
          <c:showVal val="0"/>
          <c:showCatName val="0"/>
          <c:showSerName val="0"/>
          <c:showPercent val="1"/>
          <c:showBubbleSize val="1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000" b="1"/>
                  <a:t>Outage Event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000" b="0"/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000" b="1"/>
                  <a:t>Cumulative SAIDI (min)</a:t>
                </a:r>
              </a:p>
            </c:rich>
          </c:tx>
          <c:overlay val="0"/>
        </c:title>
        <c:numFmt formatCode="0.0000" sourceLinked="1"/>
        <c:majorTickMark val="none"/>
        <c:minorTickMark val="none"/>
        <c:tickLblPos val="nextTo"/>
        <c:txPr>
          <a:bodyPr/>
          <a:lstStyle/>
          <a:p>
            <a:pPr>
              <a:defRPr sz="1000" b="0"/>
            </a:pPr>
            <a:endParaRPr lang="en-US"/>
          </a:p>
        </c:txPr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sz="1000" b="0"/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43</xdr:row>
      <xdr:rowOff>0</xdr:rowOff>
    </xdr:from>
    <xdr:ext cx="1008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3</xdr:row>
      <xdr:rowOff>0</xdr:rowOff>
    </xdr:from>
    <xdr:ext cx="504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13</xdr:col>
      <xdr:colOff>0</xdr:colOff>
      <xdr:row>21</xdr:row>
      <xdr:rowOff>0</xdr:rowOff>
    </xdr:from>
    <xdr:ext cx="5040000" cy="32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workbookViewId="0">
      <selection sqref="A1:H1"/>
    </sheetView>
  </sheetViews>
  <sheetFormatPr defaultRowHeight="14.4" x14ac:dyDescent="0.3"/>
  <cols>
    <col min="1" max="1" width="5" customWidth="1"/>
    <col min="2" max="2" width="28" customWidth="1"/>
    <col min="3" max="3" width="42" customWidth="1"/>
    <col min="4" max="4" width="38" customWidth="1"/>
    <col min="5" max="6" width="12" customWidth="1"/>
    <col min="7" max="7" width="10" customWidth="1"/>
    <col min="8" max="8" width="16" customWidth="1"/>
  </cols>
  <sheetData>
    <row r="1" spans="1:8" ht="36" customHeight="1" x14ac:dyDescent="0.5">
      <c r="A1" s="99" t="s">
        <v>0</v>
      </c>
      <c r="B1" s="96"/>
      <c r="C1" s="96"/>
      <c r="D1" s="96"/>
      <c r="E1" s="96"/>
      <c r="F1" s="96"/>
      <c r="G1" s="96"/>
      <c r="H1" s="96"/>
    </row>
    <row r="2" spans="1:8" ht="24" customHeight="1" x14ac:dyDescent="0.35">
      <c r="A2" s="97" t="s">
        <v>1</v>
      </c>
      <c r="B2" s="96"/>
      <c r="C2" s="96"/>
      <c r="D2" s="96"/>
      <c r="E2" s="96"/>
      <c r="F2" s="96"/>
      <c r="G2" s="96"/>
      <c r="H2" s="96"/>
    </row>
    <row r="3" spans="1:8" ht="18" customHeight="1" x14ac:dyDescent="0.3">
      <c r="A3" s="95" t="s">
        <v>2</v>
      </c>
      <c r="B3" s="96"/>
      <c r="C3" s="96"/>
      <c r="D3" s="96"/>
      <c r="E3" s="96"/>
      <c r="F3" s="96"/>
      <c r="G3" s="96"/>
      <c r="H3" s="96"/>
    </row>
    <row r="5" spans="1:8" ht="19.95" customHeight="1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</row>
    <row r="6" spans="1:8" ht="18" customHeight="1" x14ac:dyDescent="0.3">
      <c r="A6" s="2" t="s">
        <v>11</v>
      </c>
      <c r="B6" s="3" t="s">
        <v>12</v>
      </c>
      <c r="C6" s="3" t="s">
        <v>13</v>
      </c>
      <c r="D6" s="3" t="s">
        <v>14</v>
      </c>
      <c r="E6" s="2" t="s">
        <v>15</v>
      </c>
      <c r="F6" s="2" t="s">
        <v>16</v>
      </c>
      <c r="G6" s="2" t="s">
        <v>16</v>
      </c>
      <c r="H6" s="4" t="s">
        <v>17</v>
      </c>
    </row>
    <row r="7" spans="1:8" ht="18" customHeight="1" x14ac:dyDescent="0.3">
      <c r="A7" s="5" t="s">
        <v>18</v>
      </c>
      <c r="B7" s="6" t="s">
        <v>19</v>
      </c>
      <c r="C7" s="6" t="s">
        <v>20</v>
      </c>
      <c r="D7" s="6" t="s">
        <v>21</v>
      </c>
      <c r="E7" s="5" t="s">
        <v>22</v>
      </c>
      <c r="F7" s="5" t="s">
        <v>16</v>
      </c>
      <c r="G7" s="5" t="s">
        <v>23</v>
      </c>
      <c r="H7" s="4" t="s">
        <v>24</v>
      </c>
    </row>
    <row r="8" spans="1:8" ht="18" customHeight="1" x14ac:dyDescent="0.3">
      <c r="A8" s="2" t="s">
        <v>25</v>
      </c>
      <c r="B8" s="3" t="s">
        <v>26</v>
      </c>
      <c r="C8" s="3" t="s">
        <v>27</v>
      </c>
      <c r="D8" s="3" t="s">
        <v>28</v>
      </c>
      <c r="E8" s="2" t="s">
        <v>29</v>
      </c>
      <c r="F8" s="2" t="s">
        <v>16</v>
      </c>
      <c r="G8" s="2" t="s">
        <v>16</v>
      </c>
      <c r="H8" s="4" t="s">
        <v>30</v>
      </c>
    </row>
    <row r="9" spans="1:8" ht="18" customHeight="1" x14ac:dyDescent="0.3">
      <c r="A9" s="5" t="s">
        <v>31</v>
      </c>
      <c r="B9" s="6" t="s">
        <v>32</v>
      </c>
      <c r="C9" s="6" t="s">
        <v>33</v>
      </c>
      <c r="D9" s="6" t="s">
        <v>34</v>
      </c>
      <c r="E9" s="5" t="s">
        <v>35</v>
      </c>
      <c r="F9" s="5" t="s">
        <v>16</v>
      </c>
      <c r="G9" s="5" t="s">
        <v>23</v>
      </c>
      <c r="H9" s="4" t="s">
        <v>36</v>
      </c>
    </row>
    <row r="10" spans="1:8" ht="18" customHeight="1" x14ac:dyDescent="0.3">
      <c r="A10" s="2" t="s">
        <v>37</v>
      </c>
      <c r="B10" s="3" t="s">
        <v>38</v>
      </c>
      <c r="C10" s="3" t="s">
        <v>39</v>
      </c>
      <c r="D10" s="3" t="s">
        <v>40</v>
      </c>
      <c r="E10" s="2" t="s">
        <v>41</v>
      </c>
      <c r="F10" s="2" t="s">
        <v>23</v>
      </c>
      <c r="G10" s="2" t="s">
        <v>23</v>
      </c>
      <c r="H10" s="4" t="s">
        <v>42</v>
      </c>
    </row>
    <row r="11" spans="1:8" ht="18" customHeight="1" x14ac:dyDescent="0.3">
      <c r="A11" s="5" t="s">
        <v>43</v>
      </c>
      <c r="B11" s="6" t="s">
        <v>44</v>
      </c>
      <c r="C11" s="6" t="s">
        <v>45</v>
      </c>
      <c r="D11" s="6" t="s">
        <v>46</v>
      </c>
      <c r="E11" s="5" t="s">
        <v>47</v>
      </c>
      <c r="F11" s="5" t="s">
        <v>16</v>
      </c>
      <c r="G11" s="5" t="s">
        <v>23</v>
      </c>
      <c r="H11" s="4" t="s">
        <v>48</v>
      </c>
    </row>
    <row r="12" spans="1:8" ht="18" customHeight="1" x14ac:dyDescent="0.3">
      <c r="A12" s="2" t="s">
        <v>49</v>
      </c>
      <c r="B12" s="3" t="s">
        <v>50</v>
      </c>
      <c r="C12" s="3" t="s">
        <v>51</v>
      </c>
      <c r="D12" s="3" t="s">
        <v>52</v>
      </c>
      <c r="E12" s="2" t="s">
        <v>53</v>
      </c>
      <c r="F12" s="2" t="s">
        <v>23</v>
      </c>
      <c r="G12" s="2" t="s">
        <v>23</v>
      </c>
      <c r="H12" s="4" t="s">
        <v>54</v>
      </c>
    </row>
    <row r="14" spans="1:8" ht="19.95" customHeight="1" x14ac:dyDescent="0.3">
      <c r="A14" s="98" t="s">
        <v>55</v>
      </c>
      <c r="B14" s="96"/>
      <c r="C14" s="96"/>
      <c r="D14" s="96"/>
      <c r="E14" s="96"/>
      <c r="F14" s="96"/>
      <c r="G14" s="96"/>
      <c r="H14" s="96"/>
    </row>
    <row r="15" spans="1:8" x14ac:dyDescent="0.3">
      <c r="A15" s="7" t="s">
        <v>56</v>
      </c>
      <c r="B15" s="7" t="s">
        <v>57</v>
      </c>
      <c r="C15" s="7" t="s">
        <v>58</v>
      </c>
      <c r="D15" s="7" t="s">
        <v>59</v>
      </c>
    </row>
    <row r="16" spans="1:8" x14ac:dyDescent="0.3">
      <c r="A16" s="8" t="s">
        <v>60</v>
      </c>
      <c r="B16" s="9" t="s">
        <v>61</v>
      </c>
      <c r="C16" s="9" t="s">
        <v>62</v>
      </c>
      <c r="D16" s="9" t="s">
        <v>63</v>
      </c>
    </row>
    <row r="17" spans="1:4" x14ac:dyDescent="0.3">
      <c r="A17" s="10" t="s">
        <v>64</v>
      </c>
      <c r="B17" s="11" t="s">
        <v>65</v>
      </c>
      <c r="C17" s="11" t="s">
        <v>66</v>
      </c>
      <c r="D17" s="11" t="s">
        <v>67</v>
      </c>
    </row>
    <row r="18" spans="1:4" x14ac:dyDescent="0.3">
      <c r="A18" s="8" t="s">
        <v>68</v>
      </c>
      <c r="B18" s="9" t="s">
        <v>69</v>
      </c>
      <c r="C18" s="9" t="s">
        <v>70</v>
      </c>
      <c r="D18" s="9" t="s">
        <v>71</v>
      </c>
    </row>
    <row r="19" spans="1:4" x14ac:dyDescent="0.3">
      <c r="A19" s="10" t="s">
        <v>72</v>
      </c>
      <c r="B19" s="11" t="s">
        <v>73</v>
      </c>
      <c r="C19" s="11" t="s">
        <v>74</v>
      </c>
      <c r="D19" s="11" t="s">
        <v>75</v>
      </c>
    </row>
    <row r="20" spans="1:4" x14ac:dyDescent="0.3">
      <c r="A20" s="8" t="s">
        <v>76</v>
      </c>
      <c r="B20" s="9" t="s">
        <v>77</v>
      </c>
      <c r="C20" s="9" t="s">
        <v>78</v>
      </c>
      <c r="D20" s="9" t="s">
        <v>79</v>
      </c>
    </row>
    <row r="21" spans="1:4" x14ac:dyDescent="0.3">
      <c r="A21" s="10" t="s">
        <v>80</v>
      </c>
      <c r="B21" s="11" t="s">
        <v>81</v>
      </c>
      <c r="C21" s="11" t="s">
        <v>82</v>
      </c>
      <c r="D21" s="11" t="s">
        <v>83</v>
      </c>
    </row>
    <row r="22" spans="1:4" x14ac:dyDescent="0.3">
      <c r="A22" s="8" t="s">
        <v>84</v>
      </c>
      <c r="B22" s="9" t="s">
        <v>85</v>
      </c>
      <c r="C22" s="9" t="s">
        <v>86</v>
      </c>
      <c r="D22" s="9" t="s">
        <v>87</v>
      </c>
    </row>
    <row r="23" spans="1:4" x14ac:dyDescent="0.3">
      <c r="A23" s="10" t="s">
        <v>88</v>
      </c>
      <c r="B23" s="11" t="s">
        <v>89</v>
      </c>
      <c r="C23" s="11" t="s">
        <v>86</v>
      </c>
      <c r="D23" s="11" t="s">
        <v>90</v>
      </c>
    </row>
  </sheetData>
  <mergeCells count="4">
    <mergeCell ref="A3:H3"/>
    <mergeCell ref="A2:H2"/>
    <mergeCell ref="A14:H14"/>
    <mergeCell ref="A1:H1"/>
  </mergeCells>
  <hyperlinks>
    <hyperlink ref="H6" location="'1-Billing Spikes'!A1" display="Go to Sheet 1" xr:uid="{00000000-0004-0000-0000-000000000000}"/>
    <hyperlink ref="H7" location="'2-Meter Data Quality'!A1" display="Go to Sheet 2" xr:uid="{00000000-0004-0000-0000-000001000000}"/>
    <hyperlink ref="H8" location="'3-Outage KPIs'!A1" display="Go to Sheet 3" xr:uid="{00000000-0004-0000-0000-000002000000}"/>
    <hyperlink ref="H9" location="'4-Billing Formulas'!A1" display="Go to Sheet 4" xr:uid="{00000000-0004-0000-0000-000003000000}"/>
    <hyperlink ref="H10" location="'5-Power Query ETL'!A1" display="Go to Sheet 5" xr:uid="{00000000-0004-0000-0000-000004000000}"/>
    <hyperlink ref="H11" location="'6-UAT Checklist'!A1" display="Go to Sheet 6" xr:uid="{00000000-0004-0000-0000-000005000000}"/>
    <hyperlink ref="H12" location="'7-QA Reference'!A1" display="Go to Sheet 7" xr:uid="{00000000-0004-0000-0000-000006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1"/>
  <sheetViews>
    <sheetView workbookViewId="0">
      <selection sqref="A1:K1"/>
    </sheetView>
  </sheetViews>
  <sheetFormatPr defaultRowHeight="14.4" x14ac:dyDescent="0.3"/>
  <cols>
    <col min="1" max="1" width="14" customWidth="1"/>
    <col min="2" max="2" width="22" customWidth="1"/>
    <col min="3" max="3" width="10" customWidth="1"/>
    <col min="4" max="4" width="16" customWidth="1"/>
    <col min="5" max="5" width="18" customWidth="1"/>
    <col min="6" max="6" width="12" customWidth="1"/>
    <col min="7" max="8" width="16" customWidth="1"/>
    <col min="9" max="9" width="18" customWidth="1"/>
    <col min="10" max="10" width="14" customWidth="1"/>
    <col min="11" max="11" width="24" customWidth="1"/>
  </cols>
  <sheetData>
    <row r="1" spans="1:11" ht="31.95" customHeight="1" x14ac:dyDescent="0.4">
      <c r="A1" s="104" t="s">
        <v>91</v>
      </c>
      <c r="B1" s="96"/>
      <c r="C1" s="96"/>
      <c r="D1" s="96"/>
      <c r="E1" s="96"/>
      <c r="F1" s="96"/>
      <c r="G1" s="96"/>
      <c r="H1" s="96"/>
      <c r="I1" s="96"/>
      <c r="J1" s="96"/>
      <c r="K1" s="96"/>
    </row>
    <row r="2" spans="1:11" ht="16.05" customHeight="1" x14ac:dyDescent="0.3">
      <c r="A2" s="100" t="s">
        <v>92</v>
      </c>
      <c r="B2" s="96"/>
      <c r="C2" s="96"/>
      <c r="D2" s="96"/>
      <c r="E2" s="96"/>
      <c r="F2" s="96"/>
      <c r="G2" s="96"/>
      <c r="H2" s="96"/>
      <c r="I2" s="96"/>
      <c r="J2" s="96"/>
      <c r="K2" s="96"/>
    </row>
    <row r="3" spans="1:11" ht="18" customHeight="1" x14ac:dyDescent="0.3">
      <c r="A3" s="1" t="s">
        <v>93</v>
      </c>
      <c r="B3" s="1" t="s">
        <v>94</v>
      </c>
      <c r="C3" s="1" t="s">
        <v>95</v>
      </c>
      <c r="D3" s="1" t="s">
        <v>96</v>
      </c>
      <c r="E3" s="1" t="s">
        <v>97</v>
      </c>
      <c r="F3" s="1" t="s">
        <v>98</v>
      </c>
      <c r="G3" s="1" t="s">
        <v>99</v>
      </c>
      <c r="H3" s="1" t="s">
        <v>100</v>
      </c>
      <c r="I3" s="1" t="s">
        <v>101</v>
      </c>
      <c r="J3" s="1" t="s">
        <v>102</v>
      </c>
      <c r="K3" s="1" t="s">
        <v>103</v>
      </c>
    </row>
    <row r="4" spans="1:11" x14ac:dyDescent="0.3">
      <c r="A4" s="9" t="s">
        <v>104</v>
      </c>
      <c r="B4" s="9" t="s">
        <v>105</v>
      </c>
      <c r="C4" s="9" t="s">
        <v>106</v>
      </c>
      <c r="D4" s="12">
        <v>1150</v>
      </c>
      <c r="E4" s="12">
        <v>1320</v>
      </c>
      <c r="F4" s="13">
        <f t="shared" ref="F4:F23" si="0">E4/D4</f>
        <v>1.1478260869565218</v>
      </c>
      <c r="G4" s="14">
        <v>145.80000000000001</v>
      </c>
      <c r="H4" s="14">
        <v>169.15</v>
      </c>
      <c r="I4" s="14">
        <f t="shared" ref="I4:I23" si="1">H4-G4</f>
        <v>23.349999999999994</v>
      </c>
      <c r="J4" s="15" t="str">
        <f t="shared" ref="J4:J23" si="2">IF(OR(F4&gt;1.5,I4&gt;150),"INVESTIGATE","OK")</f>
        <v>OK</v>
      </c>
      <c r="K4" s="9"/>
    </row>
    <row r="5" spans="1:11" x14ac:dyDescent="0.3">
      <c r="A5" s="11" t="s">
        <v>107</v>
      </c>
      <c r="B5" s="11" t="s">
        <v>108</v>
      </c>
      <c r="C5" s="11" t="s">
        <v>106</v>
      </c>
      <c r="D5" s="16">
        <v>980</v>
      </c>
      <c r="E5" s="16">
        <v>2210</v>
      </c>
      <c r="F5" s="17">
        <f t="shared" si="0"/>
        <v>2.2551020408163267</v>
      </c>
      <c r="G5" s="18">
        <v>122.84</v>
      </c>
      <c r="H5" s="18">
        <v>291.39</v>
      </c>
      <c r="I5" s="18">
        <f t="shared" si="1"/>
        <v>168.54999999999998</v>
      </c>
      <c r="J5" s="15" t="str">
        <f t="shared" si="2"/>
        <v>INVESTIGATE</v>
      </c>
      <c r="K5" s="11" t="s">
        <v>109</v>
      </c>
    </row>
    <row r="6" spans="1:11" x14ac:dyDescent="0.3">
      <c r="A6" s="9" t="s">
        <v>110</v>
      </c>
      <c r="B6" s="9" t="s">
        <v>111</v>
      </c>
      <c r="C6" s="9" t="s">
        <v>106</v>
      </c>
      <c r="D6" s="12">
        <v>1400</v>
      </c>
      <c r="E6" s="12">
        <v>1380</v>
      </c>
      <c r="F6" s="13">
        <f t="shared" si="0"/>
        <v>0.98571428571428577</v>
      </c>
      <c r="G6" s="14">
        <v>180.14</v>
      </c>
      <c r="H6" s="14">
        <v>177.39</v>
      </c>
      <c r="I6" s="14">
        <f t="shared" si="1"/>
        <v>-2.75</v>
      </c>
      <c r="J6" s="15" t="str">
        <f t="shared" si="2"/>
        <v>OK</v>
      </c>
      <c r="K6" s="9"/>
    </row>
    <row r="7" spans="1:11" x14ac:dyDescent="0.3">
      <c r="A7" s="11" t="s">
        <v>112</v>
      </c>
      <c r="B7" s="11" t="s">
        <v>113</v>
      </c>
      <c r="C7" s="11" t="s">
        <v>106</v>
      </c>
      <c r="D7" s="16">
        <v>1050</v>
      </c>
      <c r="E7" s="16">
        <v>1680</v>
      </c>
      <c r="F7" s="17">
        <f t="shared" si="0"/>
        <v>1.6</v>
      </c>
      <c r="G7" s="18">
        <v>132.06</v>
      </c>
      <c r="H7" s="18">
        <v>218.59</v>
      </c>
      <c r="I7" s="18">
        <f t="shared" si="1"/>
        <v>86.53</v>
      </c>
      <c r="J7" s="15" t="str">
        <f t="shared" si="2"/>
        <v>INVESTIGATE</v>
      </c>
      <c r="K7" s="11" t="s">
        <v>109</v>
      </c>
    </row>
    <row r="8" spans="1:11" x14ac:dyDescent="0.3">
      <c r="A8" s="9" t="s">
        <v>114</v>
      </c>
      <c r="B8" s="9" t="s">
        <v>115</v>
      </c>
      <c r="C8" s="9" t="s">
        <v>106</v>
      </c>
      <c r="D8" s="12">
        <v>870</v>
      </c>
      <c r="E8" s="12">
        <v>920</v>
      </c>
      <c r="F8" s="13">
        <f t="shared" si="0"/>
        <v>1.0574712643678161</v>
      </c>
      <c r="G8" s="14">
        <v>109.86</v>
      </c>
      <c r="H8" s="14">
        <v>115.76</v>
      </c>
      <c r="I8" s="14">
        <f t="shared" si="1"/>
        <v>5.9000000000000057</v>
      </c>
      <c r="J8" s="15" t="str">
        <f t="shared" si="2"/>
        <v>OK</v>
      </c>
      <c r="K8" s="9"/>
    </row>
    <row r="9" spans="1:11" x14ac:dyDescent="0.3">
      <c r="A9" s="11" t="s">
        <v>116</v>
      </c>
      <c r="B9" s="11" t="s">
        <v>117</v>
      </c>
      <c r="C9" s="11" t="s">
        <v>118</v>
      </c>
      <c r="D9" s="16">
        <v>4500</v>
      </c>
      <c r="E9" s="16">
        <v>7900</v>
      </c>
      <c r="F9" s="17">
        <f t="shared" si="0"/>
        <v>1.7555555555555555</v>
      </c>
      <c r="G9" s="18">
        <v>515.96</v>
      </c>
      <c r="H9" s="18">
        <v>893.42</v>
      </c>
      <c r="I9" s="18">
        <f t="shared" si="1"/>
        <v>377.45999999999992</v>
      </c>
      <c r="J9" s="15" t="str">
        <f t="shared" si="2"/>
        <v>INVESTIGATE</v>
      </c>
      <c r="K9" s="11" t="s">
        <v>109</v>
      </c>
    </row>
    <row r="10" spans="1:11" x14ac:dyDescent="0.3">
      <c r="A10" s="9" t="s">
        <v>119</v>
      </c>
      <c r="B10" s="9" t="s">
        <v>120</v>
      </c>
      <c r="C10" s="9" t="s">
        <v>118</v>
      </c>
      <c r="D10" s="12">
        <v>5200</v>
      </c>
      <c r="E10" s="12">
        <v>5500</v>
      </c>
      <c r="F10" s="13">
        <f t="shared" si="0"/>
        <v>1.0576923076923077</v>
      </c>
      <c r="G10" s="14">
        <v>593.67999999999995</v>
      </c>
      <c r="H10" s="14">
        <v>626.98</v>
      </c>
      <c r="I10" s="14">
        <f t="shared" si="1"/>
        <v>33.300000000000068</v>
      </c>
      <c r="J10" s="15" t="str">
        <f t="shared" si="2"/>
        <v>OK</v>
      </c>
      <c r="K10" s="9"/>
    </row>
    <row r="11" spans="1:11" x14ac:dyDescent="0.3">
      <c r="A11" s="11" t="s">
        <v>121</v>
      </c>
      <c r="B11" s="11" t="s">
        <v>122</v>
      </c>
      <c r="C11" s="11" t="s">
        <v>118</v>
      </c>
      <c r="D11" s="16">
        <v>3800</v>
      </c>
      <c r="E11" s="16">
        <v>3950</v>
      </c>
      <c r="F11" s="17">
        <f t="shared" si="0"/>
        <v>1.0394736842105263</v>
      </c>
      <c r="G11" s="18">
        <v>438.25</v>
      </c>
      <c r="H11" s="18">
        <v>454.9</v>
      </c>
      <c r="I11" s="18">
        <f t="shared" si="1"/>
        <v>16.649999999999977</v>
      </c>
      <c r="J11" s="15" t="str">
        <f t="shared" si="2"/>
        <v>OK</v>
      </c>
      <c r="K11" s="11"/>
    </row>
    <row r="12" spans="1:11" x14ac:dyDescent="0.3">
      <c r="A12" s="9" t="s">
        <v>123</v>
      </c>
      <c r="B12" s="9" t="s">
        <v>124</v>
      </c>
      <c r="C12" s="9" t="s">
        <v>118</v>
      </c>
      <c r="D12" s="12">
        <v>6100</v>
      </c>
      <c r="E12" s="12">
        <v>10800</v>
      </c>
      <c r="F12" s="13">
        <f t="shared" si="0"/>
        <v>1.7704918032786885</v>
      </c>
      <c r="G12" s="14">
        <v>693.59</v>
      </c>
      <c r="H12" s="14">
        <v>1215.3800000000001</v>
      </c>
      <c r="I12" s="14">
        <f t="shared" si="1"/>
        <v>521.79000000000008</v>
      </c>
      <c r="J12" s="15" t="str">
        <f t="shared" si="2"/>
        <v>INVESTIGATE</v>
      </c>
      <c r="K12" s="9" t="s">
        <v>109</v>
      </c>
    </row>
    <row r="13" spans="1:11" x14ac:dyDescent="0.3">
      <c r="A13" s="11" t="s">
        <v>125</v>
      </c>
      <c r="B13" s="11" t="s">
        <v>126</v>
      </c>
      <c r="C13" s="11" t="s">
        <v>118</v>
      </c>
      <c r="D13" s="16">
        <v>4200</v>
      </c>
      <c r="E13" s="16">
        <v>4350</v>
      </c>
      <c r="F13" s="17">
        <f t="shared" si="0"/>
        <v>1.0357142857142858</v>
      </c>
      <c r="G13" s="18">
        <v>482.66</v>
      </c>
      <c r="H13" s="18">
        <v>499.31</v>
      </c>
      <c r="I13" s="18">
        <f t="shared" si="1"/>
        <v>16.649999999999977</v>
      </c>
      <c r="J13" s="15" t="str">
        <f t="shared" si="2"/>
        <v>OK</v>
      </c>
      <c r="K13" s="11"/>
    </row>
    <row r="14" spans="1:11" x14ac:dyDescent="0.3">
      <c r="A14" s="9" t="s">
        <v>127</v>
      </c>
      <c r="B14" s="9" t="s">
        <v>128</v>
      </c>
      <c r="C14" s="9" t="s">
        <v>129</v>
      </c>
      <c r="D14" s="12">
        <v>12000</v>
      </c>
      <c r="E14" s="12">
        <v>19500</v>
      </c>
      <c r="F14" s="13">
        <f t="shared" si="0"/>
        <v>1.625</v>
      </c>
      <c r="G14" s="14">
        <v>1198.6099999999999</v>
      </c>
      <c r="H14" s="14">
        <v>1923.84</v>
      </c>
      <c r="I14" s="14">
        <f t="shared" si="1"/>
        <v>725.23</v>
      </c>
      <c r="J14" s="15" t="str">
        <f t="shared" si="2"/>
        <v>INVESTIGATE</v>
      </c>
      <c r="K14" s="9" t="s">
        <v>109</v>
      </c>
    </row>
    <row r="15" spans="1:11" x14ac:dyDescent="0.3">
      <c r="A15" s="11" t="s">
        <v>130</v>
      </c>
      <c r="B15" s="11" t="s">
        <v>131</v>
      </c>
      <c r="C15" s="11" t="s">
        <v>129</v>
      </c>
      <c r="D15" s="16">
        <v>15500</v>
      </c>
      <c r="E15" s="16">
        <v>16200</v>
      </c>
      <c r="F15" s="17">
        <f t="shared" si="0"/>
        <v>1.0451612903225806</v>
      </c>
      <c r="G15" s="18">
        <v>1537.05</v>
      </c>
      <c r="H15" s="18">
        <v>1604.74</v>
      </c>
      <c r="I15" s="18">
        <f t="shared" si="1"/>
        <v>67.690000000000055</v>
      </c>
      <c r="J15" s="15" t="str">
        <f t="shared" si="2"/>
        <v>OK</v>
      </c>
      <c r="K15" s="11"/>
    </row>
    <row r="16" spans="1:11" x14ac:dyDescent="0.3">
      <c r="A16" s="9" t="s">
        <v>132</v>
      </c>
      <c r="B16" s="9" t="s">
        <v>133</v>
      </c>
      <c r="C16" s="9" t="s">
        <v>129</v>
      </c>
      <c r="D16" s="12">
        <v>18000</v>
      </c>
      <c r="E16" s="12">
        <v>18400</v>
      </c>
      <c r="F16" s="13">
        <f t="shared" si="0"/>
        <v>1.0222222222222221</v>
      </c>
      <c r="G16" s="14">
        <v>1778.8</v>
      </c>
      <c r="H16" s="14">
        <v>1817.47</v>
      </c>
      <c r="I16" s="14">
        <f t="shared" si="1"/>
        <v>38.670000000000073</v>
      </c>
      <c r="J16" s="15" t="str">
        <f t="shared" si="2"/>
        <v>OK</v>
      </c>
      <c r="K16" s="9"/>
    </row>
    <row r="17" spans="1:11" x14ac:dyDescent="0.3">
      <c r="A17" s="11" t="s">
        <v>134</v>
      </c>
      <c r="B17" s="11" t="s">
        <v>135</v>
      </c>
      <c r="C17" s="11" t="s">
        <v>129</v>
      </c>
      <c r="D17" s="16">
        <v>11000</v>
      </c>
      <c r="E17" s="16">
        <v>11200</v>
      </c>
      <c r="F17" s="17">
        <f t="shared" si="0"/>
        <v>1.0181818181818181</v>
      </c>
      <c r="G17" s="18">
        <v>1101.9100000000001</v>
      </c>
      <c r="H17" s="18">
        <v>1121.25</v>
      </c>
      <c r="I17" s="18">
        <f t="shared" si="1"/>
        <v>19.339999999999918</v>
      </c>
      <c r="J17" s="15" t="str">
        <f t="shared" si="2"/>
        <v>OK</v>
      </c>
      <c r="K17" s="11"/>
    </row>
    <row r="18" spans="1:11" x14ac:dyDescent="0.3">
      <c r="A18" s="9" t="s">
        <v>136</v>
      </c>
      <c r="B18" s="9" t="s">
        <v>137</v>
      </c>
      <c r="C18" s="9" t="s">
        <v>129</v>
      </c>
      <c r="D18" s="12">
        <v>9500</v>
      </c>
      <c r="E18" s="12">
        <v>15800</v>
      </c>
      <c r="F18" s="13">
        <f t="shared" si="0"/>
        <v>1.6631578947368422</v>
      </c>
      <c r="G18" s="14">
        <v>956.86</v>
      </c>
      <c r="H18" s="14">
        <v>1566.06</v>
      </c>
      <c r="I18" s="14">
        <f t="shared" si="1"/>
        <v>609.19999999999993</v>
      </c>
      <c r="J18" s="15" t="str">
        <f t="shared" si="2"/>
        <v>INVESTIGATE</v>
      </c>
      <c r="K18" s="9" t="s">
        <v>109</v>
      </c>
    </row>
    <row r="19" spans="1:11" x14ac:dyDescent="0.3">
      <c r="A19" s="11" t="s">
        <v>138</v>
      </c>
      <c r="B19" s="11" t="s">
        <v>139</v>
      </c>
      <c r="C19" s="11" t="s">
        <v>140</v>
      </c>
      <c r="D19" s="16">
        <v>380</v>
      </c>
      <c r="E19" s="16">
        <v>390</v>
      </c>
      <c r="F19" s="17">
        <f t="shared" si="0"/>
        <v>1.0263157894736843</v>
      </c>
      <c r="G19" s="18">
        <v>52.08</v>
      </c>
      <c r="H19" s="18">
        <v>53.26</v>
      </c>
      <c r="I19" s="18">
        <f t="shared" si="1"/>
        <v>1.1799999999999997</v>
      </c>
      <c r="J19" s="15" t="str">
        <f t="shared" si="2"/>
        <v>OK</v>
      </c>
      <c r="K19" s="11"/>
    </row>
    <row r="20" spans="1:11" x14ac:dyDescent="0.3">
      <c r="A20" s="9" t="s">
        <v>141</v>
      </c>
      <c r="B20" s="9" t="s">
        <v>142</v>
      </c>
      <c r="C20" s="9" t="s">
        <v>140</v>
      </c>
      <c r="D20" s="12">
        <v>290</v>
      </c>
      <c r="E20" s="12">
        <v>300</v>
      </c>
      <c r="F20" s="13">
        <f t="shared" si="0"/>
        <v>1.0344827586206897</v>
      </c>
      <c r="G20" s="14">
        <v>41.46</v>
      </c>
      <c r="H20" s="14">
        <v>42.64</v>
      </c>
      <c r="I20" s="14">
        <f t="shared" si="1"/>
        <v>1.1799999999999997</v>
      </c>
      <c r="J20" s="15" t="str">
        <f t="shared" si="2"/>
        <v>OK</v>
      </c>
      <c r="K20" s="9"/>
    </row>
    <row r="21" spans="1:11" x14ac:dyDescent="0.3">
      <c r="A21" s="11" t="s">
        <v>143</v>
      </c>
      <c r="B21" s="11" t="s">
        <v>144</v>
      </c>
      <c r="C21" s="11" t="s">
        <v>140</v>
      </c>
      <c r="D21" s="16">
        <v>510</v>
      </c>
      <c r="E21" s="16">
        <v>780</v>
      </c>
      <c r="F21" s="17">
        <f t="shared" si="0"/>
        <v>1.5294117647058822</v>
      </c>
      <c r="G21" s="18">
        <v>67.41</v>
      </c>
      <c r="H21" s="18">
        <v>99.25</v>
      </c>
      <c r="I21" s="18">
        <f t="shared" si="1"/>
        <v>31.840000000000003</v>
      </c>
      <c r="J21" s="15" t="str">
        <f t="shared" si="2"/>
        <v>INVESTIGATE</v>
      </c>
      <c r="K21" s="11" t="s">
        <v>109</v>
      </c>
    </row>
    <row r="22" spans="1:11" x14ac:dyDescent="0.3">
      <c r="A22" s="9" t="s">
        <v>145</v>
      </c>
      <c r="B22" s="9" t="s">
        <v>146</v>
      </c>
      <c r="C22" s="9" t="s">
        <v>147</v>
      </c>
      <c r="D22" s="12">
        <v>42000</v>
      </c>
      <c r="E22" s="12">
        <v>41500</v>
      </c>
      <c r="F22" s="13">
        <f t="shared" si="0"/>
        <v>0.98809523809523814</v>
      </c>
      <c r="G22" s="14">
        <v>3450.33</v>
      </c>
      <c r="H22" s="14">
        <v>3411.21</v>
      </c>
      <c r="I22" s="14">
        <f t="shared" si="1"/>
        <v>-39.119999999999891</v>
      </c>
      <c r="J22" s="15" t="str">
        <f t="shared" si="2"/>
        <v>OK</v>
      </c>
      <c r="K22" s="9"/>
    </row>
    <row r="23" spans="1:11" x14ac:dyDescent="0.3">
      <c r="A23" s="11" t="s">
        <v>148</v>
      </c>
      <c r="B23" s="11" t="s">
        <v>149</v>
      </c>
      <c r="C23" s="11" t="s">
        <v>147</v>
      </c>
      <c r="D23" s="16">
        <v>35000</v>
      </c>
      <c r="E23" s="16">
        <v>75000</v>
      </c>
      <c r="F23" s="17">
        <f t="shared" si="0"/>
        <v>2.1428571428571428</v>
      </c>
      <c r="G23" s="18">
        <v>2902.58</v>
      </c>
      <c r="H23" s="18">
        <v>6032.57</v>
      </c>
      <c r="I23" s="18">
        <f t="shared" si="1"/>
        <v>3129.99</v>
      </c>
      <c r="J23" s="15" t="str">
        <f t="shared" si="2"/>
        <v>INVESTIGATE</v>
      </c>
      <c r="K23" s="11" t="s">
        <v>109</v>
      </c>
    </row>
    <row r="25" spans="1:11" ht="7.95" customHeight="1" x14ac:dyDescent="0.3"/>
    <row r="26" spans="1:11" ht="19.95" customHeight="1" x14ac:dyDescent="0.3">
      <c r="A26" s="105" t="s">
        <v>150</v>
      </c>
      <c r="B26" s="102"/>
      <c r="C26" s="102"/>
      <c r="D26" s="102"/>
      <c r="E26" s="103"/>
    </row>
    <row r="27" spans="1:11" x14ac:dyDescent="0.3">
      <c r="A27" s="8" t="s">
        <v>151</v>
      </c>
      <c r="B27" s="19">
        <f>COUNTA(A4:A23)</f>
        <v>20</v>
      </c>
    </row>
    <row r="28" spans="1:11" x14ac:dyDescent="0.3">
      <c r="A28" s="10" t="s">
        <v>152</v>
      </c>
      <c r="B28" s="20">
        <f>COUNTIF(J4:J23,"INVESTIGATE")</f>
        <v>8</v>
      </c>
    </row>
    <row r="29" spans="1:11" x14ac:dyDescent="0.3">
      <c r="A29" s="8" t="s">
        <v>153</v>
      </c>
      <c r="B29" s="14">
        <f>SUMIF(J4:J23,"INVESTIGATE",I4:I23)</f>
        <v>5650.59</v>
      </c>
    </row>
    <row r="30" spans="1:11" x14ac:dyDescent="0.3">
      <c r="A30" s="10" t="s">
        <v>154</v>
      </c>
      <c r="B30" s="21">
        <f>AVERAGE(F4:F23)</f>
        <v>1.3399963616761208</v>
      </c>
    </row>
    <row r="31" spans="1:11" x14ac:dyDescent="0.3">
      <c r="A31" s="8" t="s">
        <v>155</v>
      </c>
      <c r="B31" s="22">
        <f>MAX(F4:F23)</f>
        <v>2.2551020408163267</v>
      </c>
    </row>
    <row r="32" spans="1:11" x14ac:dyDescent="0.3">
      <c r="A32" s="10" t="s">
        <v>156</v>
      </c>
      <c r="B32" s="21">
        <f>MIN(F4:F23)</f>
        <v>0.98571428571428577</v>
      </c>
    </row>
    <row r="33" spans="1:3" x14ac:dyDescent="0.3">
      <c r="A33" s="8" t="s">
        <v>157</v>
      </c>
      <c r="B33" s="23">
        <f>COUNTIF(J4:J23,"INVESTIGATE")/COUNTA(A4:A23)</f>
        <v>0.4</v>
      </c>
    </row>
    <row r="34" spans="1:3" ht="7.95" customHeight="1" x14ac:dyDescent="0.3"/>
    <row r="35" spans="1:3" x14ac:dyDescent="0.3">
      <c r="A35" s="101" t="s">
        <v>158</v>
      </c>
      <c r="B35" s="102"/>
      <c r="C35" s="103"/>
    </row>
    <row r="36" spans="1:3" x14ac:dyDescent="0.3">
      <c r="A36" s="24" t="s">
        <v>95</v>
      </c>
      <c r="B36" s="24" t="s">
        <v>159</v>
      </c>
      <c r="C36" s="24" t="s">
        <v>160</v>
      </c>
    </row>
    <row r="37" spans="1:3" x14ac:dyDescent="0.3">
      <c r="A37" s="9" t="s">
        <v>106</v>
      </c>
      <c r="B37" s="9">
        <f>COUNTIFS(C4:C23,A37,J4:J23,"INVESTIGATE")</f>
        <v>2</v>
      </c>
      <c r="C37" s="23">
        <f>IF(B29&gt;0,B37/B29,0)</f>
        <v>3.5394534022110963E-4</v>
      </c>
    </row>
    <row r="38" spans="1:3" x14ac:dyDescent="0.3">
      <c r="A38" s="11" t="s">
        <v>118</v>
      </c>
      <c r="B38" s="11">
        <f>COUNTIFS(C4:C23,A38,J4:J23,"INVESTIGATE")</f>
        <v>2</v>
      </c>
      <c r="C38" s="25">
        <f>IF(B29&gt;0,B38/B29,0)</f>
        <v>3.5394534022110963E-4</v>
      </c>
    </row>
    <row r="39" spans="1:3" x14ac:dyDescent="0.3">
      <c r="A39" s="9" t="s">
        <v>129</v>
      </c>
      <c r="B39" s="9">
        <f>COUNTIFS(C4:C23,A39,J4:J23,"INVESTIGATE")</f>
        <v>2</v>
      </c>
      <c r="C39" s="23">
        <f>IF(B29&gt;0,B39/B29,0)</f>
        <v>3.5394534022110963E-4</v>
      </c>
    </row>
    <row r="40" spans="1:3" x14ac:dyDescent="0.3">
      <c r="A40" s="11" t="s">
        <v>140</v>
      </c>
      <c r="B40" s="11">
        <f>COUNTIFS(C4:C23,A40,J4:J23,"INVESTIGATE")</f>
        <v>1</v>
      </c>
      <c r="C40" s="25">
        <f>IF(B29&gt;0,B40/B29,0)</f>
        <v>1.7697267011055481E-4</v>
      </c>
    </row>
    <row r="41" spans="1:3" x14ac:dyDescent="0.3">
      <c r="A41" s="9" t="s">
        <v>147</v>
      </c>
      <c r="B41" s="9">
        <f>COUNTIFS(C4:C23,A41,J4:J23,"INVESTIGATE")</f>
        <v>1</v>
      </c>
      <c r="C41" s="23">
        <f>IF(B29&gt;0,B41/B29,0)</f>
        <v>1.7697267011055481E-4</v>
      </c>
    </row>
  </sheetData>
  <mergeCells count="4">
    <mergeCell ref="A2:K2"/>
    <mergeCell ref="A35:C35"/>
    <mergeCell ref="A1:K1"/>
    <mergeCell ref="A26:E26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1"/>
  <sheetViews>
    <sheetView workbookViewId="0">
      <selection activeCell="J4" sqref="J4"/>
    </sheetView>
  </sheetViews>
  <sheetFormatPr defaultRowHeight="14.4" x14ac:dyDescent="0.3"/>
  <cols>
    <col min="1" max="1" width="12" customWidth="1"/>
    <col min="2" max="2" width="14" customWidth="1"/>
    <col min="3" max="3" width="13" customWidth="1"/>
    <col min="4" max="5" width="16" customWidth="1"/>
    <col min="6" max="6" width="14" customWidth="1"/>
    <col min="7" max="7" width="10" customWidth="1"/>
    <col min="8" max="8" width="14" customWidth="1"/>
    <col min="9" max="9" width="16" customWidth="1"/>
    <col min="10" max="11" width="12" customWidth="1"/>
    <col min="12" max="12" width="16" customWidth="1"/>
  </cols>
  <sheetData>
    <row r="1" spans="1:12" ht="31.95" customHeight="1" x14ac:dyDescent="0.4">
      <c r="A1" s="104" t="s">
        <v>161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</row>
    <row r="2" spans="1:12" ht="16.05" customHeight="1" x14ac:dyDescent="0.3">
      <c r="A2" s="100" t="s">
        <v>162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</row>
    <row r="3" spans="1:12" ht="36" customHeight="1" x14ac:dyDescent="0.3">
      <c r="A3" s="26" t="s">
        <v>163</v>
      </c>
      <c r="B3" s="26" t="s">
        <v>93</v>
      </c>
      <c r="C3" s="26" t="s">
        <v>164</v>
      </c>
      <c r="D3" s="26" t="s">
        <v>165</v>
      </c>
      <c r="E3" s="26" t="s">
        <v>166</v>
      </c>
      <c r="F3" s="26" t="s">
        <v>167</v>
      </c>
      <c r="G3" s="26" t="s">
        <v>168</v>
      </c>
      <c r="H3" s="26" t="s">
        <v>169</v>
      </c>
      <c r="I3" s="26" t="s">
        <v>170</v>
      </c>
      <c r="J3" s="26" t="s">
        <v>171</v>
      </c>
      <c r="K3" s="26" t="s">
        <v>172</v>
      </c>
      <c r="L3" s="26" t="s">
        <v>173</v>
      </c>
    </row>
    <row r="4" spans="1:12" x14ac:dyDescent="0.3">
      <c r="A4" s="9" t="s">
        <v>174</v>
      </c>
      <c r="B4" s="9" t="s">
        <v>104</v>
      </c>
      <c r="C4" s="27">
        <v>46265</v>
      </c>
      <c r="D4" s="12">
        <v>48200</v>
      </c>
      <c r="E4" s="12">
        <v>49520</v>
      </c>
      <c r="F4" s="12">
        <f t="shared" ref="F4:F28" si="0">E4-D4</f>
        <v>1320</v>
      </c>
      <c r="G4" s="9">
        <v>30</v>
      </c>
      <c r="H4" s="28">
        <f t="shared" ref="H4:H28" si="1">F4/G4</f>
        <v>44</v>
      </c>
      <c r="I4" s="28">
        <v>43.5</v>
      </c>
      <c r="J4" s="23">
        <f t="shared" ref="J4:J28" si="2">ABS(H4-I4)/I4</f>
        <v>1.1494252873563218E-2</v>
      </c>
      <c r="K4" s="9" t="s">
        <v>175</v>
      </c>
      <c r="L4" s="15" t="str">
        <f t="shared" ref="L4:L28" si="3">IF(COUNTIFS(A$4:A$28,A4,C$4:C$28,C4)&gt;1,"DUPLICATE",IF(F4&lt;0,"REVERSED",IF(AND(F4=0,K4="Actual"),"MISSING",IF(J4&gt;0.5,"HIGH DEVIATION","OK"))))</f>
        <v>DUPLICATE</v>
      </c>
    </row>
    <row r="5" spans="1:12" x14ac:dyDescent="0.3">
      <c r="A5" s="29" t="s">
        <v>176</v>
      </c>
      <c r="B5" s="29" t="s">
        <v>107</v>
      </c>
      <c r="C5" s="30">
        <v>46265</v>
      </c>
      <c r="D5" s="31">
        <v>91450</v>
      </c>
      <c r="E5" s="31">
        <v>93660</v>
      </c>
      <c r="F5" s="31">
        <f t="shared" si="0"/>
        <v>2210</v>
      </c>
      <c r="G5" s="29">
        <v>30</v>
      </c>
      <c r="H5" s="32">
        <f t="shared" si="1"/>
        <v>73.666666666666671</v>
      </c>
      <c r="I5" s="32">
        <v>34.200000000000003</v>
      </c>
      <c r="J5" s="33">
        <f t="shared" si="2"/>
        <v>1.1539961013645224</v>
      </c>
      <c r="K5" s="29" t="s">
        <v>175</v>
      </c>
      <c r="L5" s="15" t="str">
        <f t="shared" si="3"/>
        <v>DUPLICATE</v>
      </c>
    </row>
    <row r="6" spans="1:12" x14ac:dyDescent="0.3">
      <c r="A6" s="9" t="s">
        <v>177</v>
      </c>
      <c r="B6" s="9" t="s">
        <v>110</v>
      </c>
      <c r="C6" s="27">
        <v>46265</v>
      </c>
      <c r="D6" s="12">
        <v>22100</v>
      </c>
      <c r="E6" s="12">
        <v>23500</v>
      </c>
      <c r="F6" s="12">
        <f t="shared" si="0"/>
        <v>1400</v>
      </c>
      <c r="G6" s="9">
        <v>30</v>
      </c>
      <c r="H6" s="28">
        <f t="shared" si="1"/>
        <v>46.666666666666664</v>
      </c>
      <c r="I6" s="28">
        <v>46.2</v>
      </c>
      <c r="J6" s="23">
        <f t="shared" si="2"/>
        <v>1.0101010101009987E-2</v>
      </c>
      <c r="K6" s="9" t="s">
        <v>178</v>
      </c>
      <c r="L6" s="15" t="str">
        <f t="shared" si="3"/>
        <v>OK</v>
      </c>
    </row>
    <row r="7" spans="1:12" x14ac:dyDescent="0.3">
      <c r="A7" s="29" t="s">
        <v>179</v>
      </c>
      <c r="B7" s="29" t="s">
        <v>112</v>
      </c>
      <c r="C7" s="30">
        <v>46265</v>
      </c>
      <c r="D7" s="31">
        <v>67800</v>
      </c>
      <c r="E7" s="31">
        <v>69480</v>
      </c>
      <c r="F7" s="31">
        <f t="shared" si="0"/>
        <v>1680</v>
      </c>
      <c r="G7" s="29">
        <v>30</v>
      </c>
      <c r="H7" s="32">
        <f t="shared" si="1"/>
        <v>56</v>
      </c>
      <c r="I7" s="32">
        <v>56</v>
      </c>
      <c r="J7" s="33">
        <f t="shared" si="2"/>
        <v>0</v>
      </c>
      <c r="K7" s="29" t="s">
        <v>175</v>
      </c>
      <c r="L7" s="15" t="str">
        <f t="shared" si="3"/>
        <v>OK</v>
      </c>
    </row>
    <row r="8" spans="1:12" x14ac:dyDescent="0.3">
      <c r="A8" s="9" t="s">
        <v>180</v>
      </c>
      <c r="B8" s="9" t="s">
        <v>114</v>
      </c>
      <c r="C8" s="27">
        <v>46265</v>
      </c>
      <c r="D8" s="12">
        <v>33400</v>
      </c>
      <c r="E8" s="12">
        <v>34310</v>
      </c>
      <c r="F8" s="12">
        <f t="shared" si="0"/>
        <v>910</v>
      </c>
      <c r="G8" s="9">
        <v>30</v>
      </c>
      <c r="H8" s="28">
        <f t="shared" si="1"/>
        <v>30.333333333333332</v>
      </c>
      <c r="I8" s="28">
        <v>30.3</v>
      </c>
      <c r="J8" s="23">
        <f t="shared" si="2"/>
        <v>1.1001100110010376E-3</v>
      </c>
      <c r="K8" s="9" t="s">
        <v>178</v>
      </c>
      <c r="L8" s="15" t="str">
        <f t="shared" si="3"/>
        <v>OK</v>
      </c>
    </row>
    <row r="9" spans="1:12" x14ac:dyDescent="0.3">
      <c r="A9" s="29" t="s">
        <v>181</v>
      </c>
      <c r="B9" s="29" t="s">
        <v>116</v>
      </c>
      <c r="C9" s="30">
        <v>46265</v>
      </c>
      <c r="D9" s="31">
        <v>215000</v>
      </c>
      <c r="E9" s="31">
        <v>222610</v>
      </c>
      <c r="F9" s="31">
        <f t="shared" si="0"/>
        <v>7610</v>
      </c>
      <c r="G9" s="29">
        <v>30</v>
      </c>
      <c r="H9" s="32">
        <f t="shared" si="1"/>
        <v>253.66666666666666</v>
      </c>
      <c r="I9" s="32">
        <v>253.7</v>
      </c>
      <c r="J9" s="33">
        <f t="shared" si="2"/>
        <v>1.3138877939823193E-4</v>
      </c>
      <c r="K9" s="29" t="s">
        <v>175</v>
      </c>
      <c r="L9" s="15" t="str">
        <f t="shared" si="3"/>
        <v>OK</v>
      </c>
    </row>
    <row r="10" spans="1:12" x14ac:dyDescent="0.3">
      <c r="A10" s="9" t="s">
        <v>174</v>
      </c>
      <c r="B10" s="9" t="s">
        <v>104</v>
      </c>
      <c r="C10" s="27">
        <v>46265</v>
      </c>
      <c r="D10" s="12">
        <v>48200</v>
      </c>
      <c r="E10" s="12">
        <v>49520</v>
      </c>
      <c r="F10" s="12">
        <f t="shared" si="0"/>
        <v>1320</v>
      </c>
      <c r="G10" s="9">
        <v>30</v>
      </c>
      <c r="H10" s="28">
        <f t="shared" si="1"/>
        <v>44</v>
      </c>
      <c r="I10" s="28">
        <v>43.5</v>
      </c>
      <c r="J10" s="23">
        <f t="shared" si="2"/>
        <v>1.1494252873563218E-2</v>
      </c>
      <c r="K10" s="9" t="s">
        <v>175</v>
      </c>
      <c r="L10" s="34" t="str">
        <f t="shared" si="3"/>
        <v>DUPLICATE</v>
      </c>
    </row>
    <row r="11" spans="1:12" x14ac:dyDescent="0.3">
      <c r="A11" s="29" t="s">
        <v>182</v>
      </c>
      <c r="B11" s="29" t="s">
        <v>119</v>
      </c>
      <c r="C11" s="30">
        <v>46265</v>
      </c>
      <c r="D11" s="31">
        <v>108500</v>
      </c>
      <c r="E11" s="31">
        <v>114150</v>
      </c>
      <c r="F11" s="31">
        <f t="shared" si="0"/>
        <v>5650</v>
      </c>
      <c r="G11" s="29">
        <v>30</v>
      </c>
      <c r="H11" s="32">
        <f t="shared" si="1"/>
        <v>188.33333333333334</v>
      </c>
      <c r="I11" s="32">
        <v>188.3</v>
      </c>
      <c r="J11" s="33">
        <f t="shared" si="2"/>
        <v>1.7702248185518554E-4</v>
      </c>
      <c r="K11" s="29" t="s">
        <v>178</v>
      </c>
      <c r="L11" s="35" t="str">
        <f t="shared" si="3"/>
        <v>OK</v>
      </c>
    </row>
    <row r="12" spans="1:12" x14ac:dyDescent="0.3">
      <c r="A12" s="9" t="s">
        <v>183</v>
      </c>
      <c r="B12" s="9" t="s">
        <v>121</v>
      </c>
      <c r="C12" s="27">
        <v>46265</v>
      </c>
      <c r="D12" s="12">
        <v>74200</v>
      </c>
      <c r="E12" s="12">
        <v>74200</v>
      </c>
      <c r="F12" s="12">
        <f t="shared" si="0"/>
        <v>0</v>
      </c>
      <c r="G12" s="9">
        <v>30</v>
      </c>
      <c r="H12" s="28">
        <f t="shared" si="1"/>
        <v>0</v>
      </c>
      <c r="I12" s="28">
        <v>39.1</v>
      </c>
      <c r="J12" s="23">
        <f t="shared" si="2"/>
        <v>1</v>
      </c>
      <c r="K12" s="9" t="s">
        <v>175</v>
      </c>
      <c r="L12" s="36" t="str">
        <f t="shared" si="3"/>
        <v>MISSING</v>
      </c>
    </row>
    <row r="13" spans="1:12" x14ac:dyDescent="0.3">
      <c r="A13" s="29" t="s">
        <v>184</v>
      </c>
      <c r="B13" s="29" t="s">
        <v>123</v>
      </c>
      <c r="C13" s="30">
        <v>46265</v>
      </c>
      <c r="D13" s="31">
        <v>189000</v>
      </c>
      <c r="E13" s="31">
        <v>196245</v>
      </c>
      <c r="F13" s="31">
        <f t="shared" si="0"/>
        <v>7245</v>
      </c>
      <c r="G13" s="29">
        <v>30</v>
      </c>
      <c r="H13" s="32">
        <f t="shared" si="1"/>
        <v>241.5</v>
      </c>
      <c r="I13" s="32">
        <v>241.5</v>
      </c>
      <c r="J13" s="33">
        <f t="shared" si="2"/>
        <v>0</v>
      </c>
      <c r="K13" s="29" t="s">
        <v>178</v>
      </c>
      <c r="L13" s="15" t="str">
        <f t="shared" si="3"/>
        <v>OK</v>
      </c>
    </row>
    <row r="14" spans="1:12" x14ac:dyDescent="0.3">
      <c r="A14" s="9" t="s">
        <v>185</v>
      </c>
      <c r="B14" s="9" t="s">
        <v>125</v>
      </c>
      <c r="C14" s="27">
        <v>46265</v>
      </c>
      <c r="D14" s="12">
        <v>52000</v>
      </c>
      <c r="E14" s="12">
        <v>53380</v>
      </c>
      <c r="F14" s="12">
        <f t="shared" si="0"/>
        <v>1380</v>
      </c>
      <c r="G14" s="9">
        <v>30</v>
      </c>
      <c r="H14" s="28">
        <f t="shared" si="1"/>
        <v>46</v>
      </c>
      <c r="I14" s="28">
        <v>45</v>
      </c>
      <c r="J14" s="23">
        <f t="shared" si="2"/>
        <v>2.2222222222222223E-2</v>
      </c>
      <c r="K14" s="9" t="s">
        <v>175</v>
      </c>
      <c r="L14" s="15" t="str">
        <f t="shared" si="3"/>
        <v>OK</v>
      </c>
    </row>
    <row r="15" spans="1:12" x14ac:dyDescent="0.3">
      <c r="A15" s="29" t="s">
        <v>186</v>
      </c>
      <c r="B15" s="29" t="s">
        <v>127</v>
      </c>
      <c r="C15" s="30">
        <v>46265</v>
      </c>
      <c r="D15" s="31">
        <v>410000</v>
      </c>
      <c r="E15" s="31">
        <v>406500</v>
      </c>
      <c r="F15" s="31">
        <f t="shared" si="0"/>
        <v>-3500</v>
      </c>
      <c r="G15" s="29">
        <v>30</v>
      </c>
      <c r="H15" s="32">
        <f t="shared" si="1"/>
        <v>-116.66666666666667</v>
      </c>
      <c r="I15" s="32">
        <v>400</v>
      </c>
      <c r="J15" s="33">
        <f t="shared" si="2"/>
        <v>1.2916666666666665</v>
      </c>
      <c r="K15" s="29" t="s">
        <v>178</v>
      </c>
      <c r="L15" s="37" t="str">
        <f t="shared" si="3"/>
        <v>REVERSED</v>
      </c>
    </row>
    <row r="16" spans="1:12" x14ac:dyDescent="0.3">
      <c r="A16" s="9" t="s">
        <v>187</v>
      </c>
      <c r="B16" s="9" t="s">
        <v>130</v>
      </c>
      <c r="C16" s="27">
        <v>46265</v>
      </c>
      <c r="D16" s="12">
        <v>580000</v>
      </c>
      <c r="E16" s="12">
        <v>590700</v>
      </c>
      <c r="F16" s="12">
        <f t="shared" si="0"/>
        <v>10700</v>
      </c>
      <c r="G16" s="9">
        <v>30</v>
      </c>
      <c r="H16" s="28">
        <f t="shared" si="1"/>
        <v>356.66666666666669</v>
      </c>
      <c r="I16" s="28">
        <v>356.7</v>
      </c>
      <c r="J16" s="23">
        <f t="shared" si="2"/>
        <v>9.3449210354087521E-5</v>
      </c>
      <c r="K16" s="9" t="s">
        <v>175</v>
      </c>
      <c r="L16" s="35" t="str">
        <f t="shared" si="3"/>
        <v>OK</v>
      </c>
    </row>
    <row r="17" spans="1:12" x14ac:dyDescent="0.3">
      <c r="A17" s="29" t="s">
        <v>188</v>
      </c>
      <c r="B17" s="29" t="s">
        <v>132</v>
      </c>
      <c r="C17" s="30">
        <v>46265</v>
      </c>
      <c r="D17" s="31">
        <v>320000</v>
      </c>
      <c r="E17" s="31">
        <v>321500</v>
      </c>
      <c r="F17" s="31">
        <f t="shared" si="0"/>
        <v>1500</v>
      </c>
      <c r="G17" s="29">
        <v>30</v>
      </c>
      <c r="H17" s="32">
        <f t="shared" si="1"/>
        <v>50</v>
      </c>
      <c r="I17" s="32">
        <v>100</v>
      </c>
      <c r="J17" s="33">
        <f t="shared" si="2"/>
        <v>0.5</v>
      </c>
      <c r="K17" s="29" t="s">
        <v>178</v>
      </c>
      <c r="L17" s="15" t="str">
        <f t="shared" si="3"/>
        <v>OK</v>
      </c>
    </row>
    <row r="18" spans="1:12" x14ac:dyDescent="0.3">
      <c r="A18" s="9" t="s">
        <v>189</v>
      </c>
      <c r="B18" s="9" t="s">
        <v>134</v>
      </c>
      <c r="C18" s="27">
        <v>46265</v>
      </c>
      <c r="D18" s="12">
        <v>245000</v>
      </c>
      <c r="E18" s="12">
        <v>248520</v>
      </c>
      <c r="F18" s="12">
        <f t="shared" si="0"/>
        <v>3520</v>
      </c>
      <c r="G18" s="9">
        <v>30</v>
      </c>
      <c r="H18" s="28">
        <f t="shared" si="1"/>
        <v>117.33333333333333</v>
      </c>
      <c r="I18" s="28">
        <v>117.3</v>
      </c>
      <c r="J18" s="23">
        <f t="shared" si="2"/>
        <v>2.8417163967034474E-4</v>
      </c>
      <c r="K18" s="9" t="s">
        <v>175</v>
      </c>
      <c r="L18" s="15" t="str">
        <f t="shared" si="3"/>
        <v>OK</v>
      </c>
    </row>
    <row r="19" spans="1:12" x14ac:dyDescent="0.3">
      <c r="A19" s="29" t="s">
        <v>190</v>
      </c>
      <c r="B19" s="29" t="s">
        <v>136</v>
      </c>
      <c r="C19" s="30">
        <v>46265</v>
      </c>
      <c r="D19" s="31">
        <v>175000</v>
      </c>
      <c r="E19" s="31">
        <v>180250</v>
      </c>
      <c r="F19" s="31">
        <f t="shared" si="0"/>
        <v>5250</v>
      </c>
      <c r="G19" s="29">
        <v>30</v>
      </c>
      <c r="H19" s="32">
        <f t="shared" si="1"/>
        <v>175</v>
      </c>
      <c r="I19" s="32">
        <v>175</v>
      </c>
      <c r="J19" s="33">
        <f t="shared" si="2"/>
        <v>0</v>
      </c>
      <c r="K19" s="29" t="s">
        <v>178</v>
      </c>
      <c r="L19" s="15" t="str">
        <f t="shared" si="3"/>
        <v>OK</v>
      </c>
    </row>
    <row r="20" spans="1:12" x14ac:dyDescent="0.3">
      <c r="A20" s="9" t="s">
        <v>191</v>
      </c>
      <c r="B20" s="9" t="s">
        <v>138</v>
      </c>
      <c r="C20" s="27">
        <v>46265</v>
      </c>
      <c r="D20" s="12">
        <v>12400</v>
      </c>
      <c r="E20" s="12">
        <v>12790</v>
      </c>
      <c r="F20" s="12">
        <f t="shared" si="0"/>
        <v>390</v>
      </c>
      <c r="G20" s="9">
        <v>30</v>
      </c>
      <c r="H20" s="28">
        <f t="shared" si="1"/>
        <v>13</v>
      </c>
      <c r="I20" s="28">
        <v>13</v>
      </c>
      <c r="J20" s="23">
        <f t="shared" si="2"/>
        <v>0</v>
      </c>
      <c r="K20" s="9" t="s">
        <v>178</v>
      </c>
      <c r="L20" s="15" t="str">
        <f t="shared" si="3"/>
        <v>OK</v>
      </c>
    </row>
    <row r="21" spans="1:12" x14ac:dyDescent="0.3">
      <c r="A21" s="29" t="s">
        <v>192</v>
      </c>
      <c r="B21" s="29" t="s">
        <v>141</v>
      </c>
      <c r="C21" s="30">
        <v>46265</v>
      </c>
      <c r="D21" s="31">
        <v>9800</v>
      </c>
      <c r="E21" s="31">
        <v>9800</v>
      </c>
      <c r="F21" s="31">
        <f t="shared" si="0"/>
        <v>0</v>
      </c>
      <c r="G21" s="29">
        <v>30</v>
      </c>
      <c r="H21" s="32">
        <f t="shared" si="1"/>
        <v>0</v>
      </c>
      <c r="I21" s="32">
        <v>9.6999999999999993</v>
      </c>
      <c r="J21" s="33">
        <f t="shared" si="2"/>
        <v>1</v>
      </c>
      <c r="K21" s="29" t="s">
        <v>193</v>
      </c>
      <c r="L21" s="15" t="str">
        <f t="shared" si="3"/>
        <v>HIGH DEVIATION</v>
      </c>
    </row>
    <row r="22" spans="1:12" x14ac:dyDescent="0.3">
      <c r="A22" s="9" t="s">
        <v>194</v>
      </c>
      <c r="B22" s="9" t="s">
        <v>143</v>
      </c>
      <c r="C22" s="27">
        <v>46265</v>
      </c>
      <c r="D22" s="12">
        <v>16500</v>
      </c>
      <c r="E22" s="12">
        <v>15900</v>
      </c>
      <c r="F22" s="12">
        <f t="shared" si="0"/>
        <v>-600</v>
      </c>
      <c r="G22" s="9">
        <v>30</v>
      </c>
      <c r="H22" s="28">
        <f t="shared" si="1"/>
        <v>-20</v>
      </c>
      <c r="I22" s="28">
        <v>17</v>
      </c>
      <c r="J22" s="23">
        <f t="shared" si="2"/>
        <v>2.1764705882352939</v>
      </c>
      <c r="K22" s="9" t="s">
        <v>175</v>
      </c>
      <c r="L22" s="37" t="str">
        <f t="shared" si="3"/>
        <v>REVERSED</v>
      </c>
    </row>
    <row r="23" spans="1:12" x14ac:dyDescent="0.3">
      <c r="A23" s="29" t="s">
        <v>195</v>
      </c>
      <c r="B23" s="29" t="s">
        <v>145</v>
      </c>
      <c r="C23" s="30">
        <v>46265</v>
      </c>
      <c r="D23" s="31">
        <v>1850000</v>
      </c>
      <c r="E23" s="31">
        <v>1891500</v>
      </c>
      <c r="F23" s="31">
        <f t="shared" si="0"/>
        <v>41500</v>
      </c>
      <c r="G23" s="29">
        <v>30</v>
      </c>
      <c r="H23" s="32">
        <f t="shared" si="1"/>
        <v>1383.3333333333333</v>
      </c>
      <c r="I23" s="32">
        <v>1383.3</v>
      </c>
      <c r="J23" s="33">
        <f t="shared" si="2"/>
        <v>2.4096966191934518E-5</v>
      </c>
      <c r="K23" s="29" t="s">
        <v>178</v>
      </c>
      <c r="L23" s="15" t="str">
        <f t="shared" si="3"/>
        <v>OK</v>
      </c>
    </row>
    <row r="24" spans="1:12" x14ac:dyDescent="0.3">
      <c r="A24" s="9" t="s">
        <v>196</v>
      </c>
      <c r="B24" s="9" t="s">
        <v>148</v>
      </c>
      <c r="C24" s="27">
        <v>46265</v>
      </c>
      <c r="D24" s="12">
        <v>2400000</v>
      </c>
      <c r="E24" s="12">
        <v>2450000</v>
      </c>
      <c r="F24" s="12">
        <f t="shared" si="0"/>
        <v>50000</v>
      </c>
      <c r="G24" s="9">
        <v>30</v>
      </c>
      <c r="H24" s="28">
        <f t="shared" si="1"/>
        <v>1666.6666666666667</v>
      </c>
      <c r="I24" s="28">
        <v>2500</v>
      </c>
      <c r="J24" s="23">
        <f t="shared" si="2"/>
        <v>0.33333333333333331</v>
      </c>
      <c r="K24" s="9" t="s">
        <v>178</v>
      </c>
      <c r="L24" s="35" t="str">
        <f t="shared" si="3"/>
        <v>OK</v>
      </c>
    </row>
    <row r="25" spans="1:12" x14ac:dyDescent="0.3">
      <c r="A25" s="29" t="s">
        <v>176</v>
      </c>
      <c r="B25" s="29" t="s">
        <v>107</v>
      </c>
      <c r="C25" s="30">
        <v>46265</v>
      </c>
      <c r="D25" s="31">
        <v>91450</v>
      </c>
      <c r="E25" s="31">
        <v>93660</v>
      </c>
      <c r="F25" s="31">
        <f t="shared" si="0"/>
        <v>2210</v>
      </c>
      <c r="G25" s="29">
        <v>30</v>
      </c>
      <c r="H25" s="32">
        <f t="shared" si="1"/>
        <v>73.666666666666671</v>
      </c>
      <c r="I25" s="32">
        <v>34.200000000000003</v>
      </c>
      <c r="J25" s="33">
        <f t="shared" si="2"/>
        <v>1.1539961013645224</v>
      </c>
      <c r="K25" s="29" t="s">
        <v>175</v>
      </c>
      <c r="L25" s="34" t="str">
        <f t="shared" si="3"/>
        <v>DUPLICATE</v>
      </c>
    </row>
    <row r="26" spans="1:12" x14ac:dyDescent="0.3">
      <c r="A26" s="9" t="s">
        <v>197</v>
      </c>
      <c r="B26" s="9" t="s">
        <v>198</v>
      </c>
      <c r="C26" s="27">
        <v>46265</v>
      </c>
      <c r="D26" s="12">
        <v>38200</v>
      </c>
      <c r="E26" s="12">
        <v>40890</v>
      </c>
      <c r="F26" s="12">
        <f t="shared" si="0"/>
        <v>2690</v>
      </c>
      <c r="G26" s="9">
        <v>30</v>
      </c>
      <c r="H26" s="28">
        <f t="shared" si="1"/>
        <v>89.666666666666671</v>
      </c>
      <c r="I26" s="28">
        <v>89.7</v>
      </c>
      <c r="J26" s="23">
        <f t="shared" si="2"/>
        <v>3.7160906726122004E-4</v>
      </c>
      <c r="K26" s="9" t="s">
        <v>175</v>
      </c>
      <c r="L26" s="15" t="str">
        <f t="shared" si="3"/>
        <v>OK</v>
      </c>
    </row>
    <row r="27" spans="1:12" x14ac:dyDescent="0.3">
      <c r="A27" s="29" t="s">
        <v>199</v>
      </c>
      <c r="B27" s="29" t="s">
        <v>200</v>
      </c>
      <c r="C27" s="30">
        <v>46265</v>
      </c>
      <c r="D27" s="31">
        <v>27600</v>
      </c>
      <c r="E27" s="31">
        <v>27600</v>
      </c>
      <c r="F27" s="31">
        <f t="shared" si="0"/>
        <v>0</v>
      </c>
      <c r="G27" s="29">
        <v>30</v>
      </c>
      <c r="H27" s="32">
        <f t="shared" si="1"/>
        <v>0</v>
      </c>
      <c r="I27" s="32">
        <v>28.5</v>
      </c>
      <c r="J27" s="33">
        <f t="shared" si="2"/>
        <v>1</v>
      </c>
      <c r="K27" s="29" t="s">
        <v>178</v>
      </c>
      <c r="L27" s="15" t="str">
        <f t="shared" si="3"/>
        <v>HIGH DEVIATION</v>
      </c>
    </row>
    <row r="28" spans="1:12" x14ac:dyDescent="0.3">
      <c r="A28" s="9" t="s">
        <v>201</v>
      </c>
      <c r="B28" s="9" t="s">
        <v>202</v>
      </c>
      <c r="C28" s="27">
        <v>46265</v>
      </c>
      <c r="D28" s="12">
        <v>61000</v>
      </c>
      <c r="E28" s="12">
        <v>61000</v>
      </c>
      <c r="F28" s="12">
        <f t="shared" si="0"/>
        <v>0</v>
      </c>
      <c r="G28" s="9">
        <v>30</v>
      </c>
      <c r="H28" s="28">
        <f t="shared" si="1"/>
        <v>0</v>
      </c>
      <c r="I28" s="28">
        <v>2</v>
      </c>
      <c r="J28" s="23">
        <f t="shared" si="2"/>
        <v>1</v>
      </c>
      <c r="K28" s="9" t="s">
        <v>175</v>
      </c>
      <c r="L28" s="36" t="str">
        <f t="shared" si="3"/>
        <v>MISSING</v>
      </c>
    </row>
    <row r="30" spans="1:12" ht="7.95" customHeight="1" x14ac:dyDescent="0.3"/>
    <row r="31" spans="1:12" ht="19.95" customHeight="1" x14ac:dyDescent="0.3">
      <c r="A31" s="105" t="s">
        <v>203</v>
      </c>
      <c r="B31" s="102"/>
      <c r="C31" s="102"/>
      <c r="D31" s="102"/>
      <c r="E31" s="102"/>
      <c r="F31" s="103"/>
    </row>
    <row r="32" spans="1:12" x14ac:dyDescent="0.3">
      <c r="A32" s="24" t="s">
        <v>204</v>
      </c>
      <c r="B32" s="24" t="s">
        <v>205</v>
      </c>
      <c r="C32" s="24" t="s">
        <v>206</v>
      </c>
      <c r="D32" s="24" t="s">
        <v>207</v>
      </c>
      <c r="E32" s="24" t="s">
        <v>208</v>
      </c>
    </row>
    <row r="33" spans="1:5" x14ac:dyDescent="0.3">
      <c r="A33" s="38" t="s">
        <v>209</v>
      </c>
      <c r="B33" s="39">
        <f>COUNTIF(L4:L28,A33)</f>
        <v>4</v>
      </c>
      <c r="C33" s="40">
        <f>B33/COUNTA(A4:A28)</f>
        <v>0.16</v>
      </c>
      <c r="D33" s="34" t="s">
        <v>209</v>
      </c>
      <c r="E33" s="39" t="s">
        <v>210</v>
      </c>
    </row>
    <row r="34" spans="1:5" x14ac:dyDescent="0.3">
      <c r="A34" s="41" t="s">
        <v>211</v>
      </c>
      <c r="B34" s="42">
        <f>COUNTIF(L4:L28,A34)</f>
        <v>2</v>
      </c>
      <c r="C34" s="43">
        <f>B34/COUNTA(A4:A28)</f>
        <v>0.08</v>
      </c>
      <c r="D34" s="37" t="s">
        <v>211</v>
      </c>
      <c r="E34" s="42" t="s">
        <v>212</v>
      </c>
    </row>
    <row r="35" spans="1:5" x14ac:dyDescent="0.3">
      <c r="A35" s="44" t="s">
        <v>213</v>
      </c>
      <c r="B35" s="45">
        <f>COUNTIF(L4:L28,A35)</f>
        <v>2</v>
      </c>
      <c r="C35" s="46">
        <f>B35/COUNTA(A4:A28)</f>
        <v>0.08</v>
      </c>
      <c r="D35" s="36" t="s">
        <v>213</v>
      </c>
      <c r="E35" s="45" t="s">
        <v>214</v>
      </c>
    </row>
    <row r="36" spans="1:5" x14ac:dyDescent="0.3">
      <c r="A36" s="47" t="s">
        <v>215</v>
      </c>
      <c r="B36" s="48">
        <f>COUNTIF(L4:L28,A36)</f>
        <v>2</v>
      </c>
      <c r="C36" s="49">
        <f>B36/COUNTA(A4:A28)</f>
        <v>0.08</v>
      </c>
      <c r="D36" s="35" t="s">
        <v>215</v>
      </c>
      <c r="E36" s="48" t="s">
        <v>216</v>
      </c>
    </row>
    <row r="37" spans="1:5" x14ac:dyDescent="0.3">
      <c r="A37" s="50" t="s">
        <v>217</v>
      </c>
      <c r="B37" s="51">
        <f>COUNTIF(L4:L28,A37)</f>
        <v>15</v>
      </c>
      <c r="C37" s="52">
        <f>B37/COUNTA(A4:A28)</f>
        <v>0.6</v>
      </c>
      <c r="D37" s="15" t="s">
        <v>217</v>
      </c>
      <c r="E37" s="51" t="s">
        <v>218</v>
      </c>
    </row>
    <row r="38" spans="1:5" ht="7.95" customHeight="1" x14ac:dyDescent="0.3"/>
    <row r="39" spans="1:5" x14ac:dyDescent="0.3">
      <c r="A39" s="53" t="s">
        <v>219</v>
      </c>
      <c r="B39" s="54">
        <f>COUNTIF(L4:L28,"&lt;&gt;OK")</f>
        <v>10</v>
      </c>
    </row>
    <row r="40" spans="1:5" x14ac:dyDescent="0.3">
      <c r="A40" s="53" t="s">
        <v>220</v>
      </c>
      <c r="B40" s="55">
        <f>COUNTIF(L4:L28,"&lt;&gt;OK")/COUNTA(A4:A28)</f>
        <v>0.4</v>
      </c>
    </row>
    <row r="41" spans="1:5" x14ac:dyDescent="0.3">
      <c r="A41" s="53" t="s">
        <v>221</v>
      </c>
      <c r="B41" s="56">
        <f>SUMPRODUCT((L4:L28&lt;&gt;"OK")*(F4:F28))</f>
        <v>2960</v>
      </c>
    </row>
  </sheetData>
  <mergeCells count="3">
    <mergeCell ref="A31:F31"/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53"/>
  <sheetViews>
    <sheetView workbookViewId="0">
      <selection activeCell="K4" sqref="K4"/>
    </sheetView>
  </sheetViews>
  <sheetFormatPr defaultRowHeight="14.4" x14ac:dyDescent="0.3"/>
  <cols>
    <col min="1" max="1" width="12" customWidth="1"/>
    <col min="2" max="2" width="13" customWidth="1"/>
    <col min="3" max="3" width="12" customWidth="1"/>
    <col min="4" max="4" width="34" customWidth="1"/>
    <col min="5" max="5" width="13" customWidth="1"/>
    <col min="6" max="6" width="12" customWidth="1"/>
    <col min="7" max="7" width="16" customWidth="1"/>
    <col min="8" max="8" width="18" customWidth="1"/>
    <col min="9" max="9" width="14" customWidth="1"/>
    <col min="10" max="10" width="12" customWidth="1"/>
    <col min="11" max="12" width="14" customWidth="1"/>
    <col min="14" max="14" width="22" customWidth="1"/>
    <col min="15" max="15" width="14" customWidth="1"/>
  </cols>
  <sheetData>
    <row r="1" spans="1:18" ht="31.95" customHeight="1" x14ac:dyDescent="0.4">
      <c r="A1" s="104" t="s">
        <v>222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N1" s="57" t="s">
        <v>60</v>
      </c>
      <c r="O1" s="58">
        <v>800000</v>
      </c>
    </row>
    <row r="2" spans="1:18" ht="16.05" customHeight="1" x14ac:dyDescent="0.3">
      <c r="A2" s="100" t="s">
        <v>223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</row>
    <row r="3" spans="1:18" ht="36" customHeight="1" x14ac:dyDescent="0.3">
      <c r="A3" s="26" t="s">
        <v>224</v>
      </c>
      <c r="B3" s="26" t="s">
        <v>225</v>
      </c>
      <c r="C3" s="26" t="s">
        <v>226</v>
      </c>
      <c r="D3" s="26" t="s">
        <v>227</v>
      </c>
      <c r="E3" s="26" t="s">
        <v>228</v>
      </c>
      <c r="F3" s="26" t="s">
        <v>229</v>
      </c>
      <c r="G3" s="26" t="s">
        <v>230</v>
      </c>
      <c r="H3" s="26" t="s">
        <v>231</v>
      </c>
      <c r="I3" s="26" t="s">
        <v>232</v>
      </c>
      <c r="J3" s="26" t="s">
        <v>233</v>
      </c>
      <c r="K3" s="26" t="s">
        <v>234</v>
      </c>
      <c r="L3" s="26" t="s">
        <v>235</v>
      </c>
      <c r="Q3" t="s">
        <v>236</v>
      </c>
      <c r="R3" t="s">
        <v>237</v>
      </c>
    </row>
    <row r="4" spans="1:18" x14ac:dyDescent="0.3">
      <c r="A4" s="9" t="s">
        <v>238</v>
      </c>
      <c r="B4" s="27">
        <v>46030</v>
      </c>
      <c r="C4" s="9" t="s">
        <v>239</v>
      </c>
      <c r="D4" s="9" t="s">
        <v>240</v>
      </c>
      <c r="E4" s="12">
        <v>3200</v>
      </c>
      <c r="F4" s="9">
        <v>95</v>
      </c>
      <c r="G4" s="12">
        <f t="shared" ref="G4:G33" si="0">E4*F4</f>
        <v>304000</v>
      </c>
      <c r="H4" s="59">
        <v>46030.440972222219</v>
      </c>
      <c r="I4" s="60">
        <f t="shared" ref="I4:I33" si="1">G4/$O$1</f>
        <v>0.38</v>
      </c>
      <c r="J4" s="60">
        <f t="shared" ref="J4:J33" si="2">E4/$O$1</f>
        <v>4.0000000000000001E-3</v>
      </c>
      <c r="K4" s="60">
        <f>I4</f>
        <v>0.38</v>
      </c>
      <c r="L4" s="60">
        <f>J4</f>
        <v>4.0000000000000001E-3</v>
      </c>
      <c r="Q4" t="s">
        <v>240</v>
      </c>
      <c r="R4" s="68">
        <f>SUMIF(D4:D33,Q4,G4:G33)</f>
        <v>25568500</v>
      </c>
    </row>
    <row r="5" spans="1:18" x14ac:dyDescent="0.3">
      <c r="A5" s="11" t="s">
        <v>241</v>
      </c>
      <c r="B5" s="61">
        <v>46037</v>
      </c>
      <c r="C5" s="11" t="s">
        <v>242</v>
      </c>
      <c r="D5" s="11" t="s">
        <v>243</v>
      </c>
      <c r="E5" s="16">
        <v>850</v>
      </c>
      <c r="F5" s="11">
        <v>45</v>
      </c>
      <c r="G5" s="16">
        <f t="shared" si="0"/>
        <v>38250</v>
      </c>
      <c r="H5" s="62">
        <v>46037.597222222219</v>
      </c>
      <c r="I5" s="63">
        <f t="shared" si="1"/>
        <v>4.7812500000000001E-2</v>
      </c>
      <c r="J5" s="63">
        <f t="shared" si="2"/>
        <v>1.0625000000000001E-3</v>
      </c>
      <c r="K5" s="63">
        <f t="shared" ref="K5:K33" si="3">K4+I5</f>
        <v>0.42781249999999998</v>
      </c>
      <c r="L5" s="63">
        <f t="shared" ref="L5:L33" si="4">L4+J5</f>
        <v>5.0625000000000002E-3</v>
      </c>
      <c r="Q5" t="s">
        <v>243</v>
      </c>
      <c r="R5" s="68">
        <f>SUMIF(D4:D33,Q5,G4:G33)</f>
        <v>1112200</v>
      </c>
    </row>
    <row r="6" spans="1:18" x14ac:dyDescent="0.3">
      <c r="A6" s="9" t="s">
        <v>244</v>
      </c>
      <c r="B6" s="27">
        <v>46044</v>
      </c>
      <c r="C6" s="9" t="s">
        <v>245</v>
      </c>
      <c r="D6" s="9" t="s">
        <v>246</v>
      </c>
      <c r="E6" s="12">
        <v>1200</v>
      </c>
      <c r="F6" s="9">
        <v>70</v>
      </c>
      <c r="G6" s="12">
        <f t="shared" si="0"/>
        <v>84000</v>
      </c>
      <c r="H6" s="59">
        <v>46044.385416666657</v>
      </c>
      <c r="I6" s="60">
        <f t="shared" si="1"/>
        <v>0.105</v>
      </c>
      <c r="J6" s="60">
        <f t="shared" si="2"/>
        <v>1.5E-3</v>
      </c>
      <c r="K6" s="60">
        <f t="shared" si="3"/>
        <v>0.53281250000000002</v>
      </c>
      <c r="L6" s="60">
        <f t="shared" si="4"/>
        <v>6.5625000000000006E-3</v>
      </c>
      <c r="Q6" t="s">
        <v>246</v>
      </c>
      <c r="R6" s="68">
        <f>SUMIF(D4:D33,Q6,G4:G33)</f>
        <v>458000</v>
      </c>
    </row>
    <row r="7" spans="1:18" x14ac:dyDescent="0.3">
      <c r="A7" s="11" t="s">
        <v>247</v>
      </c>
      <c r="B7" s="61">
        <v>46056</v>
      </c>
      <c r="C7" s="11" t="s">
        <v>248</v>
      </c>
      <c r="D7" s="11" t="s">
        <v>249</v>
      </c>
      <c r="E7" s="16">
        <v>600</v>
      </c>
      <c r="F7" s="11">
        <v>120</v>
      </c>
      <c r="G7" s="16">
        <f t="shared" si="0"/>
        <v>72000</v>
      </c>
      <c r="H7" s="62">
        <v>46056.333333333343</v>
      </c>
      <c r="I7" s="63">
        <f t="shared" si="1"/>
        <v>0.09</v>
      </c>
      <c r="J7" s="63">
        <f t="shared" si="2"/>
        <v>7.5000000000000002E-4</v>
      </c>
      <c r="K7" s="63">
        <f t="shared" si="3"/>
        <v>0.62281249999999999</v>
      </c>
      <c r="L7" s="63">
        <f t="shared" si="4"/>
        <v>7.3125000000000004E-3</v>
      </c>
      <c r="Q7" t="s">
        <v>249</v>
      </c>
      <c r="R7" s="68">
        <f>SUMIF(D4:D33,Q7,G4:G33)</f>
        <v>244800</v>
      </c>
    </row>
    <row r="8" spans="1:18" x14ac:dyDescent="0.3">
      <c r="A8" s="9" t="s">
        <v>250</v>
      </c>
      <c r="B8" s="27">
        <v>46063</v>
      </c>
      <c r="C8" s="9" t="s">
        <v>251</v>
      </c>
      <c r="D8" s="9" t="s">
        <v>240</v>
      </c>
      <c r="E8" s="64">
        <v>8500</v>
      </c>
      <c r="F8" s="38">
        <v>310</v>
      </c>
      <c r="G8" s="12">
        <f t="shared" si="0"/>
        <v>2635000</v>
      </c>
      <c r="H8" s="59">
        <v>46063.739583333343</v>
      </c>
      <c r="I8" s="60">
        <f t="shared" si="1"/>
        <v>3.2937500000000002</v>
      </c>
      <c r="J8" s="60">
        <f t="shared" si="2"/>
        <v>1.0625000000000001E-2</v>
      </c>
      <c r="K8" s="60">
        <f t="shared" si="3"/>
        <v>3.9165625000000004</v>
      </c>
      <c r="L8" s="60">
        <f t="shared" si="4"/>
        <v>1.7937500000000002E-2</v>
      </c>
      <c r="Q8" t="s">
        <v>252</v>
      </c>
      <c r="R8" s="68">
        <f>SUMIF(D4:D33,Q8,G4:G33)</f>
        <v>108800</v>
      </c>
    </row>
    <row r="9" spans="1:18" x14ac:dyDescent="0.3">
      <c r="A9" s="11" t="s">
        <v>253</v>
      </c>
      <c r="B9" s="61">
        <v>46072</v>
      </c>
      <c r="C9" s="11" t="s">
        <v>239</v>
      </c>
      <c r="D9" s="11" t="s">
        <v>252</v>
      </c>
      <c r="E9" s="16">
        <v>430</v>
      </c>
      <c r="F9" s="11">
        <v>55</v>
      </c>
      <c r="G9" s="16">
        <f t="shared" si="0"/>
        <v>23650</v>
      </c>
      <c r="H9" s="62">
        <v>46072.458333333343</v>
      </c>
      <c r="I9" s="63">
        <f t="shared" si="1"/>
        <v>2.9562499999999999E-2</v>
      </c>
      <c r="J9" s="63">
        <f t="shared" si="2"/>
        <v>5.375E-4</v>
      </c>
      <c r="K9" s="63">
        <f t="shared" si="3"/>
        <v>3.9461250000000003</v>
      </c>
      <c r="L9" s="63">
        <f t="shared" si="4"/>
        <v>1.8475000000000002E-2</v>
      </c>
    </row>
    <row r="10" spans="1:18" x14ac:dyDescent="0.3">
      <c r="A10" s="9" t="s">
        <v>254</v>
      </c>
      <c r="B10" s="27">
        <v>46083</v>
      </c>
      <c r="C10" s="9" t="s">
        <v>242</v>
      </c>
      <c r="D10" s="9" t="s">
        <v>243</v>
      </c>
      <c r="E10" s="12">
        <v>2100</v>
      </c>
      <c r="F10" s="9">
        <v>130</v>
      </c>
      <c r="G10" s="12">
        <f t="shared" si="0"/>
        <v>273000</v>
      </c>
      <c r="H10" s="59">
        <v>46083.5625</v>
      </c>
      <c r="I10" s="60">
        <f t="shared" si="1"/>
        <v>0.34125</v>
      </c>
      <c r="J10" s="60">
        <f t="shared" si="2"/>
        <v>2.6250000000000002E-3</v>
      </c>
      <c r="K10" s="60">
        <f t="shared" si="3"/>
        <v>4.2873749999999999</v>
      </c>
      <c r="L10" s="60">
        <f t="shared" si="4"/>
        <v>2.1100000000000001E-2</v>
      </c>
    </row>
    <row r="11" spans="1:18" x14ac:dyDescent="0.3">
      <c r="A11" s="11" t="s">
        <v>255</v>
      </c>
      <c r="B11" s="61">
        <v>46095</v>
      </c>
      <c r="C11" s="11" t="s">
        <v>256</v>
      </c>
      <c r="D11" s="11" t="s">
        <v>240</v>
      </c>
      <c r="E11" s="64">
        <v>6700</v>
      </c>
      <c r="F11" s="38">
        <v>285</v>
      </c>
      <c r="G11" s="16">
        <f t="shared" si="0"/>
        <v>1909500</v>
      </c>
      <c r="H11" s="62">
        <v>46095.673611111109</v>
      </c>
      <c r="I11" s="63">
        <f t="shared" si="1"/>
        <v>2.3868749999999999</v>
      </c>
      <c r="J11" s="63">
        <f t="shared" si="2"/>
        <v>8.3750000000000005E-3</v>
      </c>
      <c r="K11" s="63">
        <f t="shared" si="3"/>
        <v>6.6742499999999998</v>
      </c>
      <c r="L11" s="63">
        <f t="shared" si="4"/>
        <v>2.9475000000000001E-2</v>
      </c>
    </row>
    <row r="12" spans="1:18" x14ac:dyDescent="0.3">
      <c r="A12" s="9" t="s">
        <v>257</v>
      </c>
      <c r="B12" s="27">
        <v>46106</v>
      </c>
      <c r="C12" s="9" t="s">
        <v>251</v>
      </c>
      <c r="D12" s="9" t="s">
        <v>246</v>
      </c>
      <c r="E12" s="12">
        <v>980</v>
      </c>
      <c r="F12" s="9">
        <v>80</v>
      </c>
      <c r="G12" s="12">
        <f t="shared" si="0"/>
        <v>78400</v>
      </c>
      <c r="H12" s="59">
        <v>46106.416666666657</v>
      </c>
      <c r="I12" s="60">
        <f t="shared" si="1"/>
        <v>9.8000000000000004E-2</v>
      </c>
      <c r="J12" s="60">
        <f t="shared" si="2"/>
        <v>1.225E-3</v>
      </c>
      <c r="K12" s="60">
        <f t="shared" si="3"/>
        <v>6.7722499999999997</v>
      </c>
      <c r="L12" s="60">
        <f t="shared" si="4"/>
        <v>3.0700000000000002E-2</v>
      </c>
    </row>
    <row r="13" spans="1:18" x14ac:dyDescent="0.3">
      <c r="A13" s="11" t="s">
        <v>258</v>
      </c>
      <c r="B13" s="61">
        <v>46117</v>
      </c>
      <c r="C13" s="11" t="s">
        <v>248</v>
      </c>
      <c r="D13" s="11" t="s">
        <v>249</v>
      </c>
      <c r="E13" s="16">
        <v>750</v>
      </c>
      <c r="F13" s="11">
        <v>100</v>
      </c>
      <c r="G13" s="16">
        <f t="shared" si="0"/>
        <v>75000</v>
      </c>
      <c r="H13" s="62">
        <v>46117.291666666657</v>
      </c>
      <c r="I13" s="63">
        <f t="shared" si="1"/>
        <v>9.375E-2</v>
      </c>
      <c r="J13" s="63">
        <f t="shared" si="2"/>
        <v>9.3749999999999997E-4</v>
      </c>
      <c r="K13" s="63">
        <f t="shared" si="3"/>
        <v>6.8659999999999997</v>
      </c>
      <c r="L13" s="63">
        <f t="shared" si="4"/>
        <v>3.1637499999999999E-2</v>
      </c>
    </row>
    <row r="14" spans="1:18" x14ac:dyDescent="0.3">
      <c r="A14" s="9" t="s">
        <v>259</v>
      </c>
      <c r="B14" s="27">
        <v>46124</v>
      </c>
      <c r="C14" s="9" t="s">
        <v>245</v>
      </c>
      <c r="D14" s="9" t="s">
        <v>240</v>
      </c>
      <c r="E14" s="12">
        <v>4400</v>
      </c>
      <c r="F14" s="9">
        <v>175</v>
      </c>
      <c r="G14" s="12">
        <f t="shared" si="0"/>
        <v>770000</v>
      </c>
      <c r="H14" s="59">
        <v>46124.625</v>
      </c>
      <c r="I14" s="60">
        <f t="shared" si="1"/>
        <v>0.96250000000000002</v>
      </c>
      <c r="J14" s="60">
        <f t="shared" si="2"/>
        <v>5.4999999999999997E-3</v>
      </c>
      <c r="K14" s="60">
        <f t="shared" si="3"/>
        <v>7.8285</v>
      </c>
      <c r="L14" s="60">
        <f t="shared" si="4"/>
        <v>3.7137499999999997E-2</v>
      </c>
    </row>
    <row r="15" spans="1:18" x14ac:dyDescent="0.3">
      <c r="A15" s="11" t="s">
        <v>260</v>
      </c>
      <c r="B15" s="61">
        <v>46132</v>
      </c>
      <c r="C15" s="11" t="s">
        <v>239</v>
      </c>
      <c r="D15" s="11" t="s">
        <v>243</v>
      </c>
      <c r="E15" s="16">
        <v>1650</v>
      </c>
      <c r="F15" s="11">
        <v>90</v>
      </c>
      <c r="G15" s="16">
        <f t="shared" si="0"/>
        <v>148500</v>
      </c>
      <c r="H15" s="62">
        <v>46132.5</v>
      </c>
      <c r="I15" s="63">
        <f t="shared" si="1"/>
        <v>0.18562500000000001</v>
      </c>
      <c r="J15" s="63">
        <f t="shared" si="2"/>
        <v>2.0625000000000001E-3</v>
      </c>
      <c r="K15" s="63">
        <f t="shared" si="3"/>
        <v>8.0141249999999999</v>
      </c>
      <c r="L15" s="63">
        <f t="shared" si="4"/>
        <v>3.9199999999999999E-2</v>
      </c>
    </row>
    <row r="16" spans="1:18" x14ac:dyDescent="0.3">
      <c r="A16" s="9" t="s">
        <v>261</v>
      </c>
      <c r="B16" s="27">
        <v>46143</v>
      </c>
      <c r="C16" s="9" t="s">
        <v>242</v>
      </c>
      <c r="D16" s="9" t="s">
        <v>246</v>
      </c>
      <c r="E16" s="12">
        <v>550</v>
      </c>
      <c r="F16" s="9">
        <v>65</v>
      </c>
      <c r="G16" s="12">
        <f t="shared" si="0"/>
        <v>35750</v>
      </c>
      <c r="H16" s="59">
        <v>46143.354166666657</v>
      </c>
      <c r="I16" s="60">
        <f t="shared" si="1"/>
        <v>4.4687499999999998E-2</v>
      </c>
      <c r="J16" s="60">
        <f t="shared" si="2"/>
        <v>6.8749999999999996E-4</v>
      </c>
      <c r="K16" s="60">
        <f t="shared" si="3"/>
        <v>8.0588125000000002</v>
      </c>
      <c r="L16" s="60">
        <f t="shared" si="4"/>
        <v>3.9887499999999999E-2</v>
      </c>
    </row>
    <row r="17" spans="1:12" x14ac:dyDescent="0.3">
      <c r="A17" s="11" t="s">
        <v>262</v>
      </c>
      <c r="B17" s="61">
        <v>46150</v>
      </c>
      <c r="C17" s="11" t="s">
        <v>256</v>
      </c>
      <c r="D17" s="11" t="s">
        <v>252</v>
      </c>
      <c r="E17" s="16">
        <v>1100</v>
      </c>
      <c r="F17" s="11">
        <v>50</v>
      </c>
      <c r="G17" s="16">
        <f t="shared" si="0"/>
        <v>55000</v>
      </c>
      <c r="H17" s="62">
        <v>46150.791666666657</v>
      </c>
      <c r="I17" s="63">
        <f t="shared" si="1"/>
        <v>6.8750000000000006E-2</v>
      </c>
      <c r="J17" s="63">
        <f t="shared" si="2"/>
        <v>1.3749999999999999E-3</v>
      </c>
      <c r="K17" s="63">
        <f t="shared" si="3"/>
        <v>8.1275624999999998</v>
      </c>
      <c r="L17" s="63">
        <f t="shared" si="4"/>
        <v>4.1262500000000001E-2</v>
      </c>
    </row>
    <row r="18" spans="1:12" x14ac:dyDescent="0.3">
      <c r="A18" s="9" t="s">
        <v>263</v>
      </c>
      <c r="B18" s="27">
        <v>46160</v>
      </c>
      <c r="C18" s="9" t="s">
        <v>251</v>
      </c>
      <c r="D18" s="9" t="s">
        <v>240</v>
      </c>
      <c r="E18" s="64">
        <v>9200</v>
      </c>
      <c r="F18" s="38">
        <v>420</v>
      </c>
      <c r="G18" s="12">
        <f t="shared" si="0"/>
        <v>3864000</v>
      </c>
      <c r="H18" s="59">
        <v>46160.583333333343</v>
      </c>
      <c r="I18" s="60">
        <f t="shared" si="1"/>
        <v>4.83</v>
      </c>
      <c r="J18" s="60">
        <f t="shared" si="2"/>
        <v>1.15E-2</v>
      </c>
      <c r="K18" s="60">
        <f t="shared" si="3"/>
        <v>12.9575625</v>
      </c>
      <c r="L18" s="60">
        <f t="shared" si="4"/>
        <v>5.2762500000000004E-2</v>
      </c>
    </row>
    <row r="19" spans="1:12" x14ac:dyDescent="0.3">
      <c r="A19" s="11" t="s">
        <v>264</v>
      </c>
      <c r="B19" s="61">
        <v>46169</v>
      </c>
      <c r="C19" s="11" t="s">
        <v>248</v>
      </c>
      <c r="D19" s="11" t="s">
        <v>243</v>
      </c>
      <c r="E19" s="16">
        <v>720</v>
      </c>
      <c r="F19" s="11">
        <v>60</v>
      </c>
      <c r="G19" s="16">
        <f t="shared" si="0"/>
        <v>43200</v>
      </c>
      <c r="H19" s="62">
        <v>46169.4375</v>
      </c>
      <c r="I19" s="63">
        <f t="shared" si="1"/>
        <v>5.3999999999999999E-2</v>
      </c>
      <c r="J19" s="63">
        <f t="shared" si="2"/>
        <v>8.9999999999999998E-4</v>
      </c>
      <c r="K19" s="63">
        <f t="shared" si="3"/>
        <v>13.0115625</v>
      </c>
      <c r="L19" s="63">
        <f t="shared" si="4"/>
        <v>5.3662500000000002E-2</v>
      </c>
    </row>
    <row r="20" spans="1:12" x14ac:dyDescent="0.3">
      <c r="A20" s="9" t="s">
        <v>265</v>
      </c>
      <c r="B20" s="27">
        <v>46176</v>
      </c>
      <c r="C20" s="9" t="s">
        <v>245</v>
      </c>
      <c r="D20" s="9" t="s">
        <v>240</v>
      </c>
      <c r="E20" s="64">
        <v>5100</v>
      </c>
      <c r="F20" s="9">
        <v>240</v>
      </c>
      <c r="G20" s="12">
        <f t="shared" si="0"/>
        <v>1224000</v>
      </c>
      <c r="H20" s="59">
        <v>46176.697916666657</v>
      </c>
      <c r="I20" s="60">
        <f t="shared" si="1"/>
        <v>1.53</v>
      </c>
      <c r="J20" s="60">
        <f t="shared" si="2"/>
        <v>6.3749999999999996E-3</v>
      </c>
      <c r="K20" s="60">
        <f t="shared" si="3"/>
        <v>14.5415625</v>
      </c>
      <c r="L20" s="60">
        <f t="shared" si="4"/>
        <v>6.0037500000000001E-2</v>
      </c>
    </row>
    <row r="21" spans="1:12" x14ac:dyDescent="0.3">
      <c r="A21" s="11" t="s">
        <v>266</v>
      </c>
      <c r="B21" s="61">
        <v>46184</v>
      </c>
      <c r="C21" s="11" t="s">
        <v>239</v>
      </c>
      <c r="D21" s="11" t="s">
        <v>246</v>
      </c>
      <c r="E21" s="16">
        <v>830</v>
      </c>
      <c r="F21" s="11">
        <v>75</v>
      </c>
      <c r="G21" s="16">
        <f t="shared" si="0"/>
        <v>62250</v>
      </c>
      <c r="H21" s="62">
        <v>46184.375</v>
      </c>
      <c r="I21" s="63">
        <f t="shared" si="1"/>
        <v>7.7812500000000007E-2</v>
      </c>
      <c r="J21" s="63">
        <f t="shared" si="2"/>
        <v>1.0375E-3</v>
      </c>
      <c r="K21" s="63">
        <f t="shared" si="3"/>
        <v>14.619375</v>
      </c>
      <c r="L21" s="63">
        <f t="shared" si="4"/>
        <v>6.1074999999999997E-2</v>
      </c>
    </row>
    <row r="22" spans="1:12" x14ac:dyDescent="0.3">
      <c r="A22" s="9" t="s">
        <v>267</v>
      </c>
      <c r="B22" s="27">
        <v>46193</v>
      </c>
      <c r="C22" s="9" t="s">
        <v>242</v>
      </c>
      <c r="D22" s="9" t="s">
        <v>249</v>
      </c>
      <c r="E22" s="12">
        <v>500</v>
      </c>
      <c r="F22" s="9">
        <v>90</v>
      </c>
      <c r="G22" s="12">
        <f t="shared" si="0"/>
        <v>45000</v>
      </c>
      <c r="H22" s="59">
        <v>46193.25</v>
      </c>
      <c r="I22" s="60">
        <f t="shared" si="1"/>
        <v>5.6250000000000001E-2</v>
      </c>
      <c r="J22" s="60">
        <f t="shared" si="2"/>
        <v>6.2500000000000001E-4</v>
      </c>
      <c r="K22" s="60">
        <f t="shared" si="3"/>
        <v>14.675625</v>
      </c>
      <c r="L22" s="60">
        <f t="shared" si="4"/>
        <v>6.1699999999999998E-2</v>
      </c>
    </row>
    <row r="23" spans="1:12" x14ac:dyDescent="0.3">
      <c r="A23" s="11" t="s">
        <v>268</v>
      </c>
      <c r="B23" s="61">
        <v>46201</v>
      </c>
      <c r="C23" s="11" t="s">
        <v>256</v>
      </c>
      <c r="D23" s="11" t="s">
        <v>240</v>
      </c>
      <c r="E23" s="64">
        <v>11500</v>
      </c>
      <c r="F23" s="38">
        <v>390</v>
      </c>
      <c r="G23" s="16">
        <f t="shared" si="0"/>
        <v>4485000</v>
      </c>
      <c r="H23" s="62">
        <v>46201.75</v>
      </c>
      <c r="I23" s="63">
        <f t="shared" si="1"/>
        <v>5.6062500000000002</v>
      </c>
      <c r="J23" s="63">
        <f t="shared" si="2"/>
        <v>1.4375000000000001E-2</v>
      </c>
      <c r="K23" s="63">
        <f t="shared" si="3"/>
        <v>20.281874999999999</v>
      </c>
      <c r="L23" s="63">
        <f t="shared" si="4"/>
        <v>7.6075000000000004E-2</v>
      </c>
    </row>
    <row r="24" spans="1:12" x14ac:dyDescent="0.3">
      <c r="A24" s="9" t="s">
        <v>269</v>
      </c>
      <c r="B24" s="27">
        <v>46207</v>
      </c>
      <c r="C24" s="9" t="s">
        <v>251</v>
      </c>
      <c r="D24" s="9" t="s">
        <v>240</v>
      </c>
      <c r="E24" s="64">
        <v>7800</v>
      </c>
      <c r="F24" s="38">
        <v>260</v>
      </c>
      <c r="G24" s="12">
        <f t="shared" si="0"/>
        <v>2028000</v>
      </c>
      <c r="H24" s="59">
        <v>46207.854166666657</v>
      </c>
      <c r="I24" s="60">
        <f t="shared" si="1"/>
        <v>2.5350000000000001</v>
      </c>
      <c r="J24" s="60">
        <f t="shared" si="2"/>
        <v>9.75E-3</v>
      </c>
      <c r="K24" s="60">
        <f t="shared" si="3"/>
        <v>22.816875</v>
      </c>
      <c r="L24" s="60">
        <f t="shared" si="4"/>
        <v>8.5824999999999999E-2</v>
      </c>
    </row>
    <row r="25" spans="1:12" x14ac:dyDescent="0.3">
      <c r="A25" s="11" t="s">
        <v>270</v>
      </c>
      <c r="B25" s="61">
        <v>46215</v>
      </c>
      <c r="C25" s="11" t="s">
        <v>248</v>
      </c>
      <c r="D25" s="11" t="s">
        <v>243</v>
      </c>
      <c r="E25" s="16">
        <v>1950</v>
      </c>
      <c r="F25" s="11">
        <v>115</v>
      </c>
      <c r="G25" s="16">
        <f t="shared" si="0"/>
        <v>224250</v>
      </c>
      <c r="H25" s="62">
        <v>46215.541666666657</v>
      </c>
      <c r="I25" s="63">
        <f t="shared" si="1"/>
        <v>0.28031250000000002</v>
      </c>
      <c r="J25" s="63">
        <f t="shared" si="2"/>
        <v>2.4375E-3</v>
      </c>
      <c r="K25" s="63">
        <f t="shared" si="3"/>
        <v>23.0971875</v>
      </c>
      <c r="L25" s="63">
        <f t="shared" si="4"/>
        <v>8.8262499999999994E-2</v>
      </c>
    </row>
    <row r="26" spans="1:12" x14ac:dyDescent="0.3">
      <c r="A26" s="9" t="s">
        <v>271</v>
      </c>
      <c r="B26" s="27">
        <v>46222</v>
      </c>
      <c r="C26" s="9" t="s">
        <v>245</v>
      </c>
      <c r="D26" s="9" t="s">
        <v>252</v>
      </c>
      <c r="E26" s="12">
        <v>670</v>
      </c>
      <c r="F26" s="9">
        <v>45</v>
      </c>
      <c r="G26" s="12">
        <f t="shared" si="0"/>
        <v>30150</v>
      </c>
      <c r="H26" s="59">
        <v>46222.458333333343</v>
      </c>
      <c r="I26" s="60">
        <f t="shared" si="1"/>
        <v>3.7687499999999999E-2</v>
      </c>
      <c r="J26" s="60">
        <f t="shared" si="2"/>
        <v>8.3750000000000003E-4</v>
      </c>
      <c r="K26" s="60">
        <f t="shared" si="3"/>
        <v>23.134875000000001</v>
      </c>
      <c r="L26" s="60">
        <f t="shared" si="4"/>
        <v>8.9099999999999999E-2</v>
      </c>
    </row>
    <row r="27" spans="1:12" x14ac:dyDescent="0.3">
      <c r="A27" s="11" t="s">
        <v>272</v>
      </c>
      <c r="B27" s="61">
        <v>46229</v>
      </c>
      <c r="C27" s="11" t="s">
        <v>239</v>
      </c>
      <c r="D27" s="11" t="s">
        <v>246</v>
      </c>
      <c r="E27" s="16">
        <v>1400</v>
      </c>
      <c r="F27" s="11">
        <v>95</v>
      </c>
      <c r="G27" s="16">
        <f t="shared" si="0"/>
        <v>133000</v>
      </c>
      <c r="H27" s="62">
        <v>46229.416666666657</v>
      </c>
      <c r="I27" s="63">
        <f t="shared" si="1"/>
        <v>0.16625000000000001</v>
      </c>
      <c r="J27" s="63">
        <f t="shared" si="2"/>
        <v>1.75E-3</v>
      </c>
      <c r="K27" s="63">
        <f t="shared" si="3"/>
        <v>23.301125000000003</v>
      </c>
      <c r="L27" s="63">
        <f t="shared" si="4"/>
        <v>9.085E-2</v>
      </c>
    </row>
    <row r="28" spans="1:12" x14ac:dyDescent="0.3">
      <c r="A28" s="9" t="s">
        <v>273</v>
      </c>
      <c r="B28" s="27">
        <v>46236</v>
      </c>
      <c r="C28" s="9" t="s">
        <v>242</v>
      </c>
      <c r="D28" s="9" t="s">
        <v>240</v>
      </c>
      <c r="E28" s="64">
        <v>14000</v>
      </c>
      <c r="F28" s="38">
        <v>510</v>
      </c>
      <c r="G28" s="12">
        <f t="shared" si="0"/>
        <v>7140000</v>
      </c>
      <c r="H28" s="59">
        <v>46236.708333333343</v>
      </c>
      <c r="I28" s="60">
        <f t="shared" si="1"/>
        <v>8.9250000000000007</v>
      </c>
      <c r="J28" s="60">
        <f t="shared" si="2"/>
        <v>1.7500000000000002E-2</v>
      </c>
      <c r="K28" s="60">
        <f t="shared" si="3"/>
        <v>32.226125000000003</v>
      </c>
      <c r="L28" s="60">
        <f t="shared" si="4"/>
        <v>0.10835</v>
      </c>
    </row>
    <row r="29" spans="1:12" x14ac:dyDescent="0.3">
      <c r="A29" s="11" t="s">
        <v>274</v>
      </c>
      <c r="B29" s="61">
        <v>46244</v>
      </c>
      <c r="C29" s="11" t="s">
        <v>256</v>
      </c>
      <c r="D29" s="11" t="s">
        <v>243</v>
      </c>
      <c r="E29" s="16">
        <v>900</v>
      </c>
      <c r="F29" s="11">
        <v>70</v>
      </c>
      <c r="G29" s="16">
        <f t="shared" si="0"/>
        <v>63000</v>
      </c>
      <c r="H29" s="62">
        <v>46244.604166666657</v>
      </c>
      <c r="I29" s="63">
        <f t="shared" si="1"/>
        <v>7.8750000000000001E-2</v>
      </c>
      <c r="J29" s="63">
        <f t="shared" si="2"/>
        <v>1.1249999999999999E-3</v>
      </c>
      <c r="K29" s="63">
        <f t="shared" si="3"/>
        <v>32.304875000000003</v>
      </c>
      <c r="L29" s="63">
        <f t="shared" si="4"/>
        <v>0.109475</v>
      </c>
    </row>
    <row r="30" spans="1:12" x14ac:dyDescent="0.3">
      <c r="A30" s="9" t="s">
        <v>275</v>
      </c>
      <c r="B30" s="27">
        <v>46251</v>
      </c>
      <c r="C30" s="9" t="s">
        <v>251</v>
      </c>
      <c r="D30" s="9" t="s">
        <v>246</v>
      </c>
      <c r="E30" s="12">
        <v>760</v>
      </c>
      <c r="F30" s="9">
        <v>85</v>
      </c>
      <c r="G30" s="12">
        <f t="shared" si="0"/>
        <v>64600</v>
      </c>
      <c r="H30" s="59">
        <v>46251.395833333343</v>
      </c>
      <c r="I30" s="60">
        <f t="shared" si="1"/>
        <v>8.0750000000000002E-2</v>
      </c>
      <c r="J30" s="60">
        <f t="shared" si="2"/>
        <v>9.5E-4</v>
      </c>
      <c r="K30" s="60">
        <f t="shared" si="3"/>
        <v>32.385625000000005</v>
      </c>
      <c r="L30" s="60">
        <f t="shared" si="4"/>
        <v>0.11042500000000001</v>
      </c>
    </row>
    <row r="31" spans="1:12" x14ac:dyDescent="0.3">
      <c r="A31" s="11" t="s">
        <v>276</v>
      </c>
      <c r="B31" s="61">
        <v>46258</v>
      </c>
      <c r="C31" s="11" t="s">
        <v>248</v>
      </c>
      <c r="D31" s="11" t="s">
        <v>249</v>
      </c>
      <c r="E31" s="16">
        <v>480</v>
      </c>
      <c r="F31" s="11">
        <v>110</v>
      </c>
      <c r="G31" s="16">
        <f t="shared" si="0"/>
        <v>52800</v>
      </c>
      <c r="H31" s="62">
        <v>46258.3125</v>
      </c>
      <c r="I31" s="63">
        <f t="shared" si="1"/>
        <v>6.6000000000000003E-2</v>
      </c>
      <c r="J31" s="63">
        <f t="shared" si="2"/>
        <v>5.9999999999999995E-4</v>
      </c>
      <c r="K31" s="63">
        <f t="shared" si="3"/>
        <v>32.451625000000007</v>
      </c>
      <c r="L31" s="63">
        <f t="shared" si="4"/>
        <v>0.11102500000000001</v>
      </c>
    </row>
    <row r="32" spans="1:12" x14ac:dyDescent="0.3">
      <c r="A32" s="9" t="s">
        <v>277</v>
      </c>
      <c r="B32" s="27">
        <v>46266</v>
      </c>
      <c r="C32" s="9" t="s">
        <v>245</v>
      </c>
      <c r="D32" s="9" t="s">
        <v>240</v>
      </c>
      <c r="E32" s="64">
        <v>6200</v>
      </c>
      <c r="F32" s="9">
        <v>195</v>
      </c>
      <c r="G32" s="12">
        <f t="shared" si="0"/>
        <v>1209000</v>
      </c>
      <c r="H32" s="59">
        <v>46266.625</v>
      </c>
      <c r="I32" s="60">
        <f t="shared" si="1"/>
        <v>1.51125</v>
      </c>
      <c r="J32" s="60">
        <f t="shared" si="2"/>
        <v>7.7499999999999999E-3</v>
      </c>
      <c r="K32" s="60">
        <f t="shared" si="3"/>
        <v>33.962875000000004</v>
      </c>
      <c r="L32" s="60">
        <f t="shared" si="4"/>
        <v>0.11877500000000002</v>
      </c>
    </row>
    <row r="33" spans="1:12" x14ac:dyDescent="0.3">
      <c r="A33" s="11" t="s">
        <v>278</v>
      </c>
      <c r="B33" s="61">
        <v>46275</v>
      </c>
      <c r="C33" s="11" t="s">
        <v>239</v>
      </c>
      <c r="D33" s="11" t="s">
        <v>243</v>
      </c>
      <c r="E33" s="16">
        <v>2300</v>
      </c>
      <c r="F33" s="11">
        <v>140</v>
      </c>
      <c r="G33" s="16">
        <f t="shared" si="0"/>
        <v>322000</v>
      </c>
      <c r="H33" s="62">
        <v>46275.5</v>
      </c>
      <c r="I33" s="63">
        <f t="shared" si="1"/>
        <v>0.40250000000000002</v>
      </c>
      <c r="J33" s="63">
        <f t="shared" si="2"/>
        <v>2.875E-3</v>
      </c>
      <c r="K33" s="63">
        <f t="shared" si="3"/>
        <v>34.365375000000007</v>
      </c>
      <c r="L33" s="63">
        <f t="shared" si="4"/>
        <v>0.12165000000000002</v>
      </c>
    </row>
    <row r="35" spans="1:12" ht="7.95" customHeight="1" x14ac:dyDescent="0.3"/>
    <row r="36" spans="1:12" ht="22.05" customHeight="1" x14ac:dyDescent="0.35">
      <c r="A36" s="106" t="s">
        <v>279</v>
      </c>
      <c r="B36" s="102"/>
      <c r="C36" s="102"/>
      <c r="D36" s="102"/>
      <c r="E36" s="102"/>
      <c r="F36" s="102"/>
      <c r="G36" s="103"/>
    </row>
    <row r="37" spans="1:12" x14ac:dyDescent="0.3">
      <c r="A37" s="24" t="s">
        <v>280</v>
      </c>
      <c r="B37" s="24" t="s">
        <v>281</v>
      </c>
      <c r="C37" s="24" t="s">
        <v>282</v>
      </c>
      <c r="D37" s="24" t="s">
        <v>283</v>
      </c>
    </row>
    <row r="38" spans="1:12" x14ac:dyDescent="0.3">
      <c r="A38" s="8" t="s">
        <v>284</v>
      </c>
      <c r="B38" s="22">
        <f>SUM(I4:I33)</f>
        <v>34.365375000000007</v>
      </c>
      <c r="C38" s="9" t="s">
        <v>285</v>
      </c>
      <c r="D38" s="9" t="s">
        <v>286</v>
      </c>
    </row>
    <row r="39" spans="1:12" x14ac:dyDescent="0.3">
      <c r="A39" s="10" t="s">
        <v>287</v>
      </c>
      <c r="B39" s="63">
        <f>SUM(J4:J33)</f>
        <v>0.12165000000000002</v>
      </c>
      <c r="C39" s="11" t="s">
        <v>288</v>
      </c>
      <c r="D39" s="11" t="s">
        <v>289</v>
      </c>
    </row>
    <row r="40" spans="1:12" x14ac:dyDescent="0.3">
      <c r="A40" s="8" t="s">
        <v>290</v>
      </c>
      <c r="B40" s="22">
        <f>IF(SUM(J4:J33)&gt;0,SUM(I4:I33)/SUM(J4:J33),0)</f>
        <v>282.49383477188655</v>
      </c>
      <c r="C40" s="9" t="s">
        <v>285</v>
      </c>
      <c r="D40" s="9" t="s">
        <v>291</v>
      </c>
    </row>
    <row r="41" spans="1:12" x14ac:dyDescent="0.3">
      <c r="A41" s="10" t="s">
        <v>292</v>
      </c>
      <c r="B41" s="16">
        <f>SUM(G4:G33)</f>
        <v>27492300</v>
      </c>
      <c r="C41" s="11" t="s">
        <v>293</v>
      </c>
      <c r="D41" s="11" t="s">
        <v>294</v>
      </c>
    </row>
    <row r="42" spans="1:12" x14ac:dyDescent="0.3">
      <c r="A42" s="8" t="s">
        <v>295</v>
      </c>
      <c r="B42" s="19">
        <f>COUNTA(A4:A33)</f>
        <v>30</v>
      </c>
      <c r="C42" s="9" t="s">
        <v>296</v>
      </c>
      <c r="D42" s="9" t="s">
        <v>297</v>
      </c>
    </row>
    <row r="43" spans="1:12" x14ac:dyDescent="0.3">
      <c r="A43" s="10" t="s">
        <v>298</v>
      </c>
      <c r="B43" s="16">
        <f>MAX(G4:G33)</f>
        <v>7140000</v>
      </c>
      <c r="C43" s="11" t="s">
        <v>293</v>
      </c>
      <c r="D43" s="11" t="s">
        <v>299</v>
      </c>
    </row>
    <row r="44" spans="1:12" x14ac:dyDescent="0.3">
      <c r="A44" s="8" t="s">
        <v>300</v>
      </c>
      <c r="B44" s="65">
        <f>AVERAGEIF(D4:D33,"Weather",F4:F33)</f>
        <v>288</v>
      </c>
      <c r="C44" s="9" t="s">
        <v>301</v>
      </c>
      <c r="D44" s="9"/>
    </row>
    <row r="45" spans="1:12" x14ac:dyDescent="0.3">
      <c r="A45" s="10" t="s">
        <v>302</v>
      </c>
      <c r="B45" s="66">
        <f>AVERAGEIF(D4:D33,"Equipment Failure",F4:F33)</f>
        <v>92.857142857142861</v>
      </c>
      <c r="C45" s="11" t="s">
        <v>301</v>
      </c>
      <c r="D45" s="11"/>
    </row>
    <row r="46" spans="1:12" x14ac:dyDescent="0.3">
      <c r="A46" s="8" t="s">
        <v>303</v>
      </c>
      <c r="B46" s="65">
        <f>AVERAGEIF(D4:D33,"Vegetation",F4:F33)</f>
        <v>78.333333333333329</v>
      </c>
      <c r="C46" s="9" t="s">
        <v>301</v>
      </c>
      <c r="D46" s="9"/>
    </row>
    <row r="47" spans="1:12" x14ac:dyDescent="0.3">
      <c r="A47" s="10" t="s">
        <v>304</v>
      </c>
      <c r="B47" s="66">
        <f>AVERAGEIF(D4:D33,"Planned",F4:F33)</f>
        <v>105</v>
      </c>
      <c r="C47" s="11" t="s">
        <v>301</v>
      </c>
      <c r="D47" s="11"/>
    </row>
    <row r="48" spans="1:12" x14ac:dyDescent="0.3">
      <c r="A48" s="8" t="s">
        <v>305</v>
      </c>
      <c r="B48" s="65">
        <f>AVERAGEIF(D4:D33,"Unknown",F4:F33)</f>
        <v>50</v>
      </c>
      <c r="C48" s="9" t="s">
        <v>301</v>
      </c>
      <c r="D48" s="9"/>
    </row>
    <row r="49" spans="1:4" x14ac:dyDescent="0.3">
      <c r="A49" s="10" t="s">
        <v>306</v>
      </c>
      <c r="B49" s="41" t="str">
        <f>IF(SUM(I4:I33)&lt;90,"WITHIN TARGET","EXCEEDS TARGET")</f>
        <v>WITHIN TARGET</v>
      </c>
      <c r="C49" s="11" t="s">
        <v>307</v>
      </c>
      <c r="D49" s="11"/>
    </row>
    <row r="50" spans="1:4" x14ac:dyDescent="0.3">
      <c r="A50" s="8" t="s">
        <v>308</v>
      </c>
      <c r="B50" s="41" t="str">
        <f>IF(SUM(J4:J33)&lt;1,"WITHIN TARGET","EXCEEDS TARGET")</f>
        <v>WITHIN TARGET</v>
      </c>
      <c r="C50" s="9" t="s">
        <v>307</v>
      </c>
      <c r="D50" s="9"/>
    </row>
    <row r="52" spans="1:4" x14ac:dyDescent="0.3">
      <c r="A52" s="67" t="s">
        <v>309</v>
      </c>
    </row>
    <row r="53" spans="1:4" x14ac:dyDescent="0.3">
      <c r="A53" s="67" t="s">
        <v>310</v>
      </c>
    </row>
  </sheetData>
  <mergeCells count="3">
    <mergeCell ref="A36:G36"/>
    <mergeCell ref="A2:L2"/>
    <mergeCell ref="A1:L1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42"/>
  <sheetViews>
    <sheetView workbookViewId="0">
      <selection activeCell="O26" sqref="O26"/>
    </sheetView>
  </sheetViews>
  <sheetFormatPr defaultRowHeight="14.4" x14ac:dyDescent="0.3"/>
  <cols>
    <col min="1" max="1" width="22.109375" bestFit="1" customWidth="1"/>
    <col min="2" max="2" width="10.5546875" bestFit="1" customWidth="1"/>
    <col min="3" max="3" width="10.6640625" bestFit="1" customWidth="1"/>
    <col min="4" max="4" width="30.21875" bestFit="1" customWidth="1"/>
    <col min="5" max="7" width="14" customWidth="1"/>
    <col min="8" max="8" width="13" customWidth="1"/>
    <col min="9" max="10" width="18" customWidth="1"/>
    <col min="11" max="11" width="16" customWidth="1"/>
    <col min="12" max="12" width="14" customWidth="1"/>
    <col min="13" max="13" width="15" customWidth="1"/>
    <col min="14" max="14" width="14" customWidth="1"/>
    <col min="15" max="15" width="13" customWidth="1"/>
  </cols>
  <sheetData>
    <row r="1" spans="1:16" ht="31.95" customHeight="1" x14ac:dyDescent="0.4">
      <c r="A1" s="104" t="s">
        <v>311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</row>
    <row r="2" spans="1:16" ht="16.05" customHeight="1" x14ac:dyDescent="0.3">
      <c r="A2" s="100" t="s">
        <v>312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</row>
    <row r="4" spans="1:16" x14ac:dyDescent="0.3">
      <c r="A4" s="108" t="s">
        <v>313</v>
      </c>
      <c r="B4" s="102"/>
      <c r="C4" s="102"/>
      <c r="D4" s="103"/>
    </row>
    <row r="5" spans="1:16" x14ac:dyDescent="0.3">
      <c r="A5" s="24" t="s">
        <v>314</v>
      </c>
      <c r="B5" s="24" t="s">
        <v>57</v>
      </c>
      <c r="C5" s="24" t="s">
        <v>58</v>
      </c>
      <c r="D5" s="24" t="s">
        <v>103</v>
      </c>
    </row>
    <row r="6" spans="1:16" x14ac:dyDescent="0.3">
      <c r="A6" s="69" t="s">
        <v>72</v>
      </c>
      <c r="B6" s="70">
        <v>6.65</v>
      </c>
      <c r="C6" s="71" t="s">
        <v>74</v>
      </c>
      <c r="D6" s="71" t="s">
        <v>315</v>
      </c>
    </row>
    <row r="7" spans="1:16" x14ac:dyDescent="0.3">
      <c r="A7" s="72" t="s">
        <v>316</v>
      </c>
      <c r="B7" s="73">
        <v>8.4559999999999996E-2</v>
      </c>
      <c r="C7" s="74" t="s">
        <v>317</v>
      </c>
      <c r="D7" s="74" t="s">
        <v>318</v>
      </c>
    </row>
    <row r="8" spans="1:16" x14ac:dyDescent="0.3">
      <c r="A8" s="69" t="s">
        <v>319</v>
      </c>
      <c r="B8" s="70">
        <v>0.10234</v>
      </c>
      <c r="C8" s="71" t="s">
        <v>317</v>
      </c>
      <c r="D8" s="71" t="s">
        <v>320</v>
      </c>
    </row>
    <row r="9" spans="1:16" x14ac:dyDescent="0.3">
      <c r="A9" s="72" t="s">
        <v>321</v>
      </c>
      <c r="B9" s="73">
        <v>15</v>
      </c>
      <c r="C9" s="74" t="s">
        <v>74</v>
      </c>
      <c r="D9" s="74" t="s">
        <v>322</v>
      </c>
    </row>
    <row r="10" spans="1:16" x14ac:dyDescent="0.3">
      <c r="A10" s="69" t="s">
        <v>323</v>
      </c>
      <c r="B10" s="70">
        <v>7.8229999999999994E-2</v>
      </c>
      <c r="C10" s="71" t="s">
        <v>317</v>
      </c>
      <c r="D10" s="71" t="s">
        <v>324</v>
      </c>
    </row>
    <row r="11" spans="1:16" x14ac:dyDescent="0.3">
      <c r="A11" s="72" t="s">
        <v>325</v>
      </c>
      <c r="B11" s="73">
        <v>9.5</v>
      </c>
      <c r="C11" s="74" t="s">
        <v>326</v>
      </c>
      <c r="D11" s="74" t="s">
        <v>327</v>
      </c>
    </row>
    <row r="12" spans="1:16" x14ac:dyDescent="0.3">
      <c r="A12" s="69" t="s">
        <v>328</v>
      </c>
      <c r="B12" s="70">
        <v>35</v>
      </c>
      <c r="C12" s="71" t="s">
        <v>74</v>
      </c>
      <c r="D12" s="71" t="s">
        <v>329</v>
      </c>
    </row>
    <row r="13" spans="1:16" x14ac:dyDescent="0.3">
      <c r="A13" s="72" t="s">
        <v>330</v>
      </c>
      <c r="B13" s="73">
        <v>6.5119999999999997E-2</v>
      </c>
      <c r="C13" s="74" t="s">
        <v>317</v>
      </c>
      <c r="D13" s="74" t="s">
        <v>324</v>
      </c>
    </row>
    <row r="14" spans="1:16" x14ac:dyDescent="0.3">
      <c r="A14" s="69" t="s">
        <v>331</v>
      </c>
      <c r="B14" s="70">
        <v>12.75</v>
      </c>
      <c r="C14" s="71" t="s">
        <v>326</v>
      </c>
      <c r="D14" s="71" t="s">
        <v>327</v>
      </c>
    </row>
    <row r="15" spans="1:16" x14ac:dyDescent="0.3">
      <c r="A15" s="72" t="s">
        <v>332</v>
      </c>
      <c r="B15" s="73">
        <v>150</v>
      </c>
      <c r="C15" s="74" t="s">
        <v>74</v>
      </c>
      <c r="D15" s="74" t="s">
        <v>333</v>
      </c>
    </row>
    <row r="16" spans="1:16" x14ac:dyDescent="0.3">
      <c r="A16" s="69" t="s">
        <v>334</v>
      </c>
      <c r="B16" s="70">
        <v>4.8230000000000002E-2</v>
      </c>
      <c r="C16" s="71" t="s">
        <v>317</v>
      </c>
      <c r="D16" s="71" t="s">
        <v>324</v>
      </c>
    </row>
    <row r="17" spans="1:16" x14ac:dyDescent="0.3">
      <c r="A17" s="72" t="s">
        <v>335</v>
      </c>
      <c r="B17" s="73">
        <v>15</v>
      </c>
      <c r="C17" s="74" t="s">
        <v>326</v>
      </c>
      <c r="D17" s="74" t="s">
        <v>327</v>
      </c>
    </row>
    <row r="18" spans="1:16" x14ac:dyDescent="0.3">
      <c r="A18" s="69" t="s">
        <v>336</v>
      </c>
      <c r="B18" s="70">
        <v>2.341E-2</v>
      </c>
      <c r="C18" s="71" t="s">
        <v>317</v>
      </c>
      <c r="D18" s="71" t="s">
        <v>337</v>
      </c>
    </row>
    <row r="19" spans="1:16" x14ac:dyDescent="0.3">
      <c r="A19" s="72" t="s">
        <v>338</v>
      </c>
      <c r="B19" s="73">
        <v>2.5600000000000001E-2</v>
      </c>
      <c r="C19" s="74" t="s">
        <v>339</v>
      </c>
      <c r="D19" s="74" t="s">
        <v>340</v>
      </c>
    </row>
    <row r="20" spans="1:16" x14ac:dyDescent="0.3">
      <c r="A20" s="69" t="s">
        <v>341</v>
      </c>
      <c r="B20" s="70">
        <v>6.5000000000000002E-2</v>
      </c>
      <c r="C20" s="71" t="s">
        <v>339</v>
      </c>
      <c r="D20" s="71" t="s">
        <v>342</v>
      </c>
    </row>
    <row r="21" spans="1:16" x14ac:dyDescent="0.3">
      <c r="A21" s="72" t="s">
        <v>343</v>
      </c>
      <c r="B21" s="74">
        <v>1000</v>
      </c>
      <c r="C21" s="74" t="s">
        <v>344</v>
      </c>
      <c r="D21" s="74" t="s">
        <v>345</v>
      </c>
    </row>
    <row r="23" spans="1:16" ht="7.95" customHeight="1" x14ac:dyDescent="0.3"/>
    <row r="24" spans="1:16" ht="22.05" customHeight="1" x14ac:dyDescent="0.3">
      <c r="A24" s="109" t="s">
        <v>346</v>
      </c>
      <c r="B24" s="110"/>
      <c r="C24" s="110"/>
      <c r="D24" s="110"/>
      <c r="E24" s="110"/>
      <c r="F24" s="110"/>
      <c r="G24" s="110"/>
      <c r="H24" s="110"/>
      <c r="I24" s="110"/>
      <c r="J24" s="110"/>
      <c r="K24" s="110"/>
      <c r="L24" s="110"/>
      <c r="M24" s="110"/>
      <c r="N24" s="110"/>
      <c r="O24" s="110"/>
      <c r="P24" s="110"/>
    </row>
    <row r="25" spans="1:16" ht="36" customHeight="1" x14ac:dyDescent="0.3">
      <c r="A25" s="75" t="s">
        <v>93</v>
      </c>
      <c r="B25" s="26" t="s">
        <v>95</v>
      </c>
      <c r="C25" s="26" t="s">
        <v>347</v>
      </c>
      <c r="D25" s="26" t="s">
        <v>348</v>
      </c>
      <c r="E25" s="26" t="s">
        <v>349</v>
      </c>
      <c r="F25" s="26" t="s">
        <v>350</v>
      </c>
      <c r="G25" s="26" t="s">
        <v>351</v>
      </c>
      <c r="H25" s="26" t="s">
        <v>352</v>
      </c>
      <c r="I25" s="26" t="s">
        <v>353</v>
      </c>
      <c r="J25" s="26" t="s">
        <v>354</v>
      </c>
      <c r="K25" s="26" t="s">
        <v>355</v>
      </c>
      <c r="L25" s="26" t="s">
        <v>356</v>
      </c>
      <c r="M25" s="26" t="s">
        <v>357</v>
      </c>
      <c r="N25" s="26" t="s">
        <v>358</v>
      </c>
      <c r="O25" s="76" t="s">
        <v>359</v>
      </c>
    </row>
    <row r="26" spans="1:16" x14ac:dyDescent="0.3">
      <c r="A26" s="77" t="s">
        <v>360</v>
      </c>
      <c r="B26" s="9" t="s">
        <v>106</v>
      </c>
      <c r="C26" s="12">
        <v>850</v>
      </c>
      <c r="D26" s="12">
        <v>0</v>
      </c>
      <c r="E26" s="14">
        <f>$B$6</f>
        <v>6.65</v>
      </c>
      <c r="F26" s="14">
        <f>MIN(C26,$B$21)*$B$7</f>
        <v>71.875999999999991</v>
      </c>
      <c r="G26" s="14">
        <f>MAX(C26-$B$21,0)*$B$8</f>
        <v>0</v>
      </c>
      <c r="H26" s="14">
        <f t="shared" ref="H26:H40" si="0">C26*$B$18</f>
        <v>19.898499999999999</v>
      </c>
      <c r="I26" s="14">
        <f>E26+F26+G26+H26</f>
        <v>98.424499999999995</v>
      </c>
      <c r="J26" s="14">
        <f t="shared" ref="J26:J40" si="1">I26*$B$19</f>
        <v>2.5196671999999998</v>
      </c>
      <c r="K26" s="14">
        <f t="shared" ref="K26:K40" si="2">(I26+J26)*$B$20</f>
        <v>6.561370868</v>
      </c>
      <c r="L26" s="14">
        <f t="shared" ref="L26:L40" si="3">I26+J26+K26</f>
        <v>107.50553806799999</v>
      </c>
      <c r="M26" s="14">
        <v>95.2</v>
      </c>
      <c r="N26" s="14">
        <f t="shared" ref="N26:N40" si="4">L26-M26</f>
        <v>12.30553806799999</v>
      </c>
      <c r="O26" s="78">
        <f t="shared" ref="O26:O40" si="5">IF(M26&lt;&gt;0,(L26-M26)/M26,0)</f>
        <v>0.12925985365546208</v>
      </c>
    </row>
    <row r="27" spans="1:16" x14ac:dyDescent="0.3">
      <c r="A27" s="79" t="s">
        <v>361</v>
      </c>
      <c r="B27" s="11" t="s">
        <v>106</v>
      </c>
      <c r="C27" s="16">
        <v>1350</v>
      </c>
      <c r="D27" s="16">
        <v>0</v>
      </c>
      <c r="E27" s="18">
        <f>$B$6</f>
        <v>6.65</v>
      </c>
      <c r="F27" s="18">
        <f>MIN(C27,$B$21)*$B$7</f>
        <v>84.56</v>
      </c>
      <c r="G27" s="18">
        <f>MAX(C27-$B$21,0)*$B$8</f>
        <v>35.819000000000003</v>
      </c>
      <c r="H27" s="18">
        <f t="shared" si="0"/>
        <v>31.6035</v>
      </c>
      <c r="I27" s="18">
        <f>E27+F27+G27+H27</f>
        <v>158.63250000000002</v>
      </c>
      <c r="J27" s="18">
        <f t="shared" si="1"/>
        <v>4.0609920000000006</v>
      </c>
      <c r="K27" s="18">
        <f t="shared" si="2"/>
        <v>10.575076980000002</v>
      </c>
      <c r="L27" s="18">
        <f t="shared" si="3"/>
        <v>173.26856898000003</v>
      </c>
      <c r="M27" s="18">
        <v>130.44999999999999</v>
      </c>
      <c r="N27" s="18">
        <f t="shared" si="4"/>
        <v>42.818568980000038</v>
      </c>
      <c r="O27" s="80">
        <f t="shared" si="5"/>
        <v>0.32823740114986616</v>
      </c>
    </row>
    <row r="28" spans="1:16" x14ac:dyDescent="0.3">
      <c r="A28" s="77" t="s">
        <v>362</v>
      </c>
      <c r="B28" s="9" t="s">
        <v>106</v>
      </c>
      <c r="C28" s="12">
        <v>2200</v>
      </c>
      <c r="D28" s="12">
        <v>0</v>
      </c>
      <c r="E28" s="14">
        <f>$B$6</f>
        <v>6.65</v>
      </c>
      <c r="F28" s="14">
        <f>MIN(C28,$B$21)*$B$7</f>
        <v>84.56</v>
      </c>
      <c r="G28" s="14">
        <f>MAX(C28-$B$21,0)*$B$8</f>
        <v>122.80800000000001</v>
      </c>
      <c r="H28" s="14">
        <f t="shared" si="0"/>
        <v>51.502000000000002</v>
      </c>
      <c r="I28" s="14">
        <f>E28+F28+G28+H28</f>
        <v>265.52000000000004</v>
      </c>
      <c r="J28" s="14">
        <f t="shared" si="1"/>
        <v>6.7973120000000016</v>
      </c>
      <c r="K28" s="14">
        <f t="shared" si="2"/>
        <v>17.700625280000001</v>
      </c>
      <c r="L28" s="14">
        <f t="shared" si="3"/>
        <v>290.01793728000001</v>
      </c>
      <c r="M28" s="14">
        <v>198.3</v>
      </c>
      <c r="N28" s="14">
        <f t="shared" si="4"/>
        <v>91.717937280000001</v>
      </c>
      <c r="O28" s="78">
        <f t="shared" si="5"/>
        <v>0.46252111588502265</v>
      </c>
    </row>
    <row r="29" spans="1:16" x14ac:dyDescent="0.3">
      <c r="A29" s="79" t="s">
        <v>363</v>
      </c>
      <c r="B29" s="11" t="s">
        <v>106</v>
      </c>
      <c r="C29" s="16">
        <v>680</v>
      </c>
      <c r="D29" s="16">
        <v>0</v>
      </c>
      <c r="E29" s="18">
        <f>$B$6</f>
        <v>6.65</v>
      </c>
      <c r="F29" s="18">
        <f>MIN(C29,$B$21)*$B$7</f>
        <v>57.500799999999998</v>
      </c>
      <c r="G29" s="18">
        <f>MAX(C29-$B$21,0)*$B$8</f>
        <v>0</v>
      </c>
      <c r="H29" s="18">
        <f t="shared" si="0"/>
        <v>15.918800000000001</v>
      </c>
      <c r="I29" s="18">
        <f>E29+F29+G29+H29</f>
        <v>80.069600000000008</v>
      </c>
      <c r="J29" s="18">
        <f t="shared" si="1"/>
        <v>2.0497817600000001</v>
      </c>
      <c r="K29" s="18">
        <f t="shared" si="2"/>
        <v>5.3377598144000009</v>
      </c>
      <c r="L29" s="18">
        <f t="shared" si="3"/>
        <v>87.457141574400012</v>
      </c>
      <c r="M29" s="18">
        <v>72.099999999999994</v>
      </c>
      <c r="N29" s="18">
        <f t="shared" si="4"/>
        <v>15.357141574400018</v>
      </c>
      <c r="O29" s="80">
        <f t="shared" si="5"/>
        <v>0.21299780269625546</v>
      </c>
    </row>
    <row r="30" spans="1:16" x14ac:dyDescent="0.3">
      <c r="A30" s="77" t="s">
        <v>364</v>
      </c>
      <c r="B30" s="9" t="s">
        <v>118</v>
      </c>
      <c r="C30" s="12">
        <v>4200</v>
      </c>
      <c r="D30" s="12">
        <v>18</v>
      </c>
      <c r="E30" s="14">
        <f>$B$9</f>
        <v>15</v>
      </c>
      <c r="F30" s="14">
        <f>C30*$B$10</f>
        <v>328.56599999999997</v>
      </c>
      <c r="G30" s="14">
        <v>0</v>
      </c>
      <c r="H30" s="14">
        <f t="shared" si="0"/>
        <v>98.322000000000003</v>
      </c>
      <c r="I30" s="14">
        <f>E30+F30+H30+D30*$B$11</f>
        <v>612.88799999999992</v>
      </c>
      <c r="J30" s="14">
        <f t="shared" si="1"/>
        <v>15.689932799999999</v>
      </c>
      <c r="K30" s="14">
        <f t="shared" si="2"/>
        <v>40.857565631999996</v>
      </c>
      <c r="L30" s="14">
        <f t="shared" si="3"/>
        <v>669.43549843199992</v>
      </c>
      <c r="M30" s="14">
        <v>485.6</v>
      </c>
      <c r="N30" s="14">
        <f t="shared" si="4"/>
        <v>183.83549843199989</v>
      </c>
      <c r="O30" s="78">
        <f t="shared" si="5"/>
        <v>0.37857392593080702</v>
      </c>
    </row>
    <row r="31" spans="1:16" x14ac:dyDescent="0.3">
      <c r="A31" s="79" t="s">
        <v>365</v>
      </c>
      <c r="B31" s="11" t="s">
        <v>118</v>
      </c>
      <c r="C31" s="16">
        <v>6800</v>
      </c>
      <c r="D31" s="16">
        <v>28</v>
      </c>
      <c r="E31" s="18">
        <f>$B$9</f>
        <v>15</v>
      </c>
      <c r="F31" s="18">
        <f>C31*$B$10</f>
        <v>531.96399999999994</v>
      </c>
      <c r="G31" s="18">
        <v>0</v>
      </c>
      <c r="H31" s="18">
        <f t="shared" si="0"/>
        <v>159.18799999999999</v>
      </c>
      <c r="I31" s="18">
        <f>E31+F31+H31+D31*$B$11</f>
        <v>972.15199999999993</v>
      </c>
      <c r="J31" s="18">
        <f t="shared" si="1"/>
        <v>24.8870912</v>
      </c>
      <c r="K31" s="18">
        <f t="shared" si="2"/>
        <v>64.807540927999995</v>
      </c>
      <c r="L31" s="18">
        <f t="shared" si="3"/>
        <v>1061.846632128</v>
      </c>
      <c r="M31" s="18">
        <v>740.2</v>
      </c>
      <c r="N31" s="18">
        <f t="shared" si="4"/>
        <v>321.64663212799996</v>
      </c>
      <c r="O31" s="80">
        <f t="shared" si="5"/>
        <v>0.43454016769521742</v>
      </c>
    </row>
    <row r="32" spans="1:16" x14ac:dyDescent="0.3">
      <c r="A32" s="77" t="s">
        <v>366</v>
      </c>
      <c r="B32" s="9" t="s">
        <v>118</v>
      </c>
      <c r="C32" s="12">
        <v>3100</v>
      </c>
      <c r="D32" s="12">
        <v>12</v>
      </c>
      <c r="E32" s="14">
        <f>$B$9</f>
        <v>15</v>
      </c>
      <c r="F32" s="14">
        <f>C32*$B$10</f>
        <v>242.51299999999998</v>
      </c>
      <c r="G32" s="14">
        <v>0</v>
      </c>
      <c r="H32" s="14">
        <f t="shared" si="0"/>
        <v>72.570999999999998</v>
      </c>
      <c r="I32" s="14">
        <f>E32+F32+H32+D32*$B$11</f>
        <v>444.08399999999995</v>
      </c>
      <c r="J32" s="14">
        <f t="shared" si="1"/>
        <v>11.368550399999998</v>
      </c>
      <c r="K32" s="14">
        <f t="shared" si="2"/>
        <v>29.604415775999996</v>
      </c>
      <c r="L32" s="14">
        <f t="shared" si="3"/>
        <v>485.05696617599995</v>
      </c>
      <c r="M32" s="14">
        <v>368.9</v>
      </c>
      <c r="N32" s="14">
        <f t="shared" si="4"/>
        <v>116.15696617599997</v>
      </c>
      <c r="O32" s="78">
        <f t="shared" si="5"/>
        <v>0.31487385789102729</v>
      </c>
    </row>
    <row r="33" spans="1:15" x14ac:dyDescent="0.3">
      <c r="A33" s="79" t="s">
        <v>367</v>
      </c>
      <c r="B33" s="11" t="s">
        <v>118</v>
      </c>
      <c r="C33" s="16">
        <v>7500</v>
      </c>
      <c r="D33" s="16">
        <v>35</v>
      </c>
      <c r="E33" s="18">
        <f>$B$9</f>
        <v>15</v>
      </c>
      <c r="F33" s="18">
        <f>C33*$B$10</f>
        <v>586.72499999999991</v>
      </c>
      <c r="G33" s="18">
        <v>0</v>
      </c>
      <c r="H33" s="18">
        <f t="shared" si="0"/>
        <v>175.57499999999999</v>
      </c>
      <c r="I33" s="18">
        <f>E33+F33+H33+D33*$B$11</f>
        <v>1109.8</v>
      </c>
      <c r="J33" s="18">
        <f t="shared" si="1"/>
        <v>28.410879999999999</v>
      </c>
      <c r="K33" s="18">
        <f t="shared" si="2"/>
        <v>73.983707199999998</v>
      </c>
      <c r="L33" s="18">
        <f t="shared" si="3"/>
        <v>1212.1945871999999</v>
      </c>
      <c r="M33" s="18">
        <v>812.4</v>
      </c>
      <c r="N33" s="18">
        <f t="shared" si="4"/>
        <v>399.79458719999991</v>
      </c>
      <c r="O33" s="80">
        <f t="shared" si="5"/>
        <v>0.4921154446085671</v>
      </c>
    </row>
    <row r="34" spans="1:15" x14ac:dyDescent="0.3">
      <c r="A34" s="77" t="s">
        <v>368</v>
      </c>
      <c r="B34" s="9" t="s">
        <v>129</v>
      </c>
      <c r="C34" s="12">
        <v>11500</v>
      </c>
      <c r="D34" s="12">
        <v>85</v>
      </c>
      <c r="E34" s="14">
        <f>$B$12</f>
        <v>35</v>
      </c>
      <c r="F34" s="14">
        <f>C34*$B$13</f>
        <v>748.88</v>
      </c>
      <c r="G34" s="14">
        <v>0</v>
      </c>
      <c r="H34" s="14">
        <f t="shared" si="0"/>
        <v>269.21499999999997</v>
      </c>
      <c r="I34" s="14">
        <f>E34+F34+H34+D34*$B$14</f>
        <v>2136.8450000000003</v>
      </c>
      <c r="J34" s="14">
        <f t="shared" si="1"/>
        <v>54.703232000000007</v>
      </c>
      <c r="K34" s="14">
        <f t="shared" si="2"/>
        <v>142.45063508000001</v>
      </c>
      <c r="L34" s="14">
        <f t="shared" si="3"/>
        <v>2333.9988670800003</v>
      </c>
      <c r="M34" s="14">
        <v>980.15</v>
      </c>
      <c r="N34" s="14">
        <f t="shared" si="4"/>
        <v>1353.8488670800002</v>
      </c>
      <c r="O34" s="78">
        <f t="shared" si="5"/>
        <v>1.3812670173748918</v>
      </c>
    </row>
    <row r="35" spans="1:15" x14ac:dyDescent="0.3">
      <c r="A35" s="79" t="s">
        <v>369</v>
      </c>
      <c r="B35" s="11" t="s">
        <v>129</v>
      </c>
      <c r="C35" s="16">
        <v>16800</v>
      </c>
      <c r="D35" s="16">
        <v>140</v>
      </c>
      <c r="E35" s="18">
        <f>$B$12</f>
        <v>35</v>
      </c>
      <c r="F35" s="18">
        <f>C35*$B$13</f>
        <v>1094.0159999999998</v>
      </c>
      <c r="G35" s="18">
        <v>0</v>
      </c>
      <c r="H35" s="18">
        <f t="shared" si="0"/>
        <v>393.28800000000001</v>
      </c>
      <c r="I35" s="18">
        <f>E35+F35+H35+D35*$B$14</f>
        <v>3307.3040000000001</v>
      </c>
      <c r="J35" s="18">
        <f t="shared" si="1"/>
        <v>84.666982400000009</v>
      </c>
      <c r="K35" s="18">
        <f t="shared" si="2"/>
        <v>220.47811385600002</v>
      </c>
      <c r="L35" s="18">
        <f t="shared" si="3"/>
        <v>3612.4490962560003</v>
      </c>
      <c r="M35" s="18">
        <v>1425.6</v>
      </c>
      <c r="N35" s="18">
        <f t="shared" si="4"/>
        <v>2186.8490962560004</v>
      </c>
      <c r="O35" s="80">
        <f t="shared" si="5"/>
        <v>1.5339850562962967</v>
      </c>
    </row>
    <row r="36" spans="1:15" x14ac:dyDescent="0.3">
      <c r="A36" s="77" t="s">
        <v>370</v>
      </c>
      <c r="B36" s="9" t="s">
        <v>129</v>
      </c>
      <c r="C36" s="12">
        <v>9200</v>
      </c>
      <c r="D36" s="12">
        <v>70</v>
      </c>
      <c r="E36" s="14">
        <f>$B$12</f>
        <v>35</v>
      </c>
      <c r="F36" s="14">
        <f>C36*$B$13</f>
        <v>599.10399999999993</v>
      </c>
      <c r="G36" s="14">
        <v>0</v>
      </c>
      <c r="H36" s="14">
        <f t="shared" si="0"/>
        <v>215.37200000000001</v>
      </c>
      <c r="I36" s="14">
        <f>E36+F36+H36+D36*$B$14</f>
        <v>1741.9759999999999</v>
      </c>
      <c r="J36" s="14">
        <f t="shared" si="1"/>
        <v>44.594585600000002</v>
      </c>
      <c r="K36" s="14">
        <f t="shared" si="2"/>
        <v>116.12708806400001</v>
      </c>
      <c r="L36" s="14">
        <f t="shared" si="3"/>
        <v>1902.6976736639999</v>
      </c>
      <c r="M36" s="14">
        <v>780.3</v>
      </c>
      <c r="N36" s="14">
        <f t="shared" si="4"/>
        <v>1122.397673664</v>
      </c>
      <c r="O36" s="78">
        <f t="shared" si="5"/>
        <v>1.4384181387466359</v>
      </c>
    </row>
    <row r="37" spans="1:15" x14ac:dyDescent="0.3">
      <c r="A37" s="79" t="s">
        <v>371</v>
      </c>
      <c r="B37" s="11" t="s">
        <v>147</v>
      </c>
      <c r="C37" s="16">
        <v>42000</v>
      </c>
      <c r="D37" s="16">
        <v>320</v>
      </c>
      <c r="E37" s="18">
        <f>$B$15</f>
        <v>150</v>
      </c>
      <c r="F37" s="18">
        <f>C37*$B$16</f>
        <v>2025.66</v>
      </c>
      <c r="G37" s="18">
        <v>0</v>
      </c>
      <c r="H37" s="18">
        <f t="shared" si="0"/>
        <v>983.22</v>
      </c>
      <c r="I37" s="18">
        <f>E37+F37+H37+D37*$B$17</f>
        <v>7958.88</v>
      </c>
      <c r="J37" s="18">
        <f t="shared" si="1"/>
        <v>203.74732800000001</v>
      </c>
      <c r="K37" s="18">
        <f t="shared" si="2"/>
        <v>530.57077632000005</v>
      </c>
      <c r="L37" s="18">
        <f t="shared" si="3"/>
        <v>8693.1981043200012</v>
      </c>
      <c r="M37" s="18">
        <v>3850</v>
      </c>
      <c r="N37" s="18">
        <f t="shared" si="4"/>
        <v>4843.1981043200012</v>
      </c>
      <c r="O37" s="80">
        <f t="shared" si="5"/>
        <v>1.2579735335896107</v>
      </c>
    </row>
    <row r="38" spans="1:15" x14ac:dyDescent="0.3">
      <c r="A38" s="77" t="s">
        <v>372</v>
      </c>
      <c r="B38" s="9" t="s">
        <v>147</v>
      </c>
      <c r="C38" s="12">
        <v>68000</v>
      </c>
      <c r="D38" s="12">
        <v>500</v>
      </c>
      <c r="E38" s="14">
        <f>$B$15</f>
        <v>150</v>
      </c>
      <c r="F38" s="14">
        <f>C38*$B$16</f>
        <v>3279.6400000000003</v>
      </c>
      <c r="G38" s="14">
        <v>0</v>
      </c>
      <c r="H38" s="14">
        <f t="shared" si="0"/>
        <v>1591.88</v>
      </c>
      <c r="I38" s="14">
        <f>E38+F38+H38+D38*$B$17</f>
        <v>12521.52</v>
      </c>
      <c r="J38" s="14">
        <f t="shared" si="1"/>
        <v>320.55091200000004</v>
      </c>
      <c r="K38" s="14">
        <f t="shared" si="2"/>
        <v>834.73460928000009</v>
      </c>
      <c r="L38" s="14">
        <f t="shared" si="3"/>
        <v>13676.805521280001</v>
      </c>
      <c r="M38" s="14">
        <v>6120</v>
      </c>
      <c r="N38" s="14">
        <f t="shared" si="4"/>
        <v>7556.8055212800009</v>
      </c>
      <c r="O38" s="78">
        <f t="shared" si="5"/>
        <v>1.2347721440000001</v>
      </c>
    </row>
    <row r="39" spans="1:15" x14ac:dyDescent="0.3">
      <c r="A39" s="79" t="s">
        <v>373</v>
      </c>
      <c r="B39" s="11" t="s">
        <v>147</v>
      </c>
      <c r="C39" s="16">
        <v>35000</v>
      </c>
      <c r="D39" s="16">
        <v>270</v>
      </c>
      <c r="E39" s="18">
        <f>$B$15</f>
        <v>150</v>
      </c>
      <c r="F39" s="18">
        <f>C39*$B$16</f>
        <v>1688.0500000000002</v>
      </c>
      <c r="G39" s="18">
        <v>0</v>
      </c>
      <c r="H39" s="18">
        <f t="shared" si="0"/>
        <v>819.35</v>
      </c>
      <c r="I39" s="18">
        <f>E39+F39+H39+D39*$B$17</f>
        <v>6707.4</v>
      </c>
      <c r="J39" s="18">
        <f t="shared" si="1"/>
        <v>171.70944</v>
      </c>
      <c r="K39" s="18">
        <f t="shared" si="2"/>
        <v>447.14211359999996</v>
      </c>
      <c r="L39" s="18">
        <f t="shared" si="3"/>
        <v>7326.2515535999992</v>
      </c>
      <c r="M39" s="18">
        <v>3190</v>
      </c>
      <c r="N39" s="18">
        <f t="shared" si="4"/>
        <v>4136.2515535999992</v>
      </c>
      <c r="O39" s="80">
        <f t="shared" si="5"/>
        <v>1.2966305810658305</v>
      </c>
    </row>
    <row r="40" spans="1:15" x14ac:dyDescent="0.3">
      <c r="A40" s="81" t="s">
        <v>374</v>
      </c>
      <c r="B40" s="82" t="s">
        <v>106</v>
      </c>
      <c r="C40" s="83">
        <v>1000</v>
      </c>
      <c r="D40" s="83">
        <v>0</v>
      </c>
      <c r="E40" s="84">
        <f>$B$6</f>
        <v>6.65</v>
      </c>
      <c r="F40" s="84">
        <f>MIN(C40,$B$21)*$B$7</f>
        <v>84.56</v>
      </c>
      <c r="G40" s="84">
        <f>MAX(C40-$B$21,0)*$B$8</f>
        <v>0</v>
      </c>
      <c r="H40" s="84">
        <f t="shared" si="0"/>
        <v>23.41</v>
      </c>
      <c r="I40" s="84">
        <f>E40+F40+G40+H40</f>
        <v>114.62</v>
      </c>
      <c r="J40" s="84">
        <f t="shared" si="1"/>
        <v>2.9342720000000004</v>
      </c>
      <c r="K40" s="84">
        <f t="shared" si="2"/>
        <v>7.6410276800000014</v>
      </c>
      <c r="L40" s="84">
        <f t="shared" si="3"/>
        <v>125.19529968000002</v>
      </c>
      <c r="M40" s="84">
        <v>108.9</v>
      </c>
      <c r="N40" s="84">
        <f t="shared" si="4"/>
        <v>16.295299680000014</v>
      </c>
      <c r="O40" s="85">
        <f t="shared" si="5"/>
        <v>0.14963544242424254</v>
      </c>
    </row>
    <row r="41" spans="1:15" ht="7.95" customHeight="1" x14ac:dyDescent="0.3"/>
    <row r="42" spans="1:15" x14ac:dyDescent="0.3">
      <c r="A42" s="107" t="s">
        <v>375</v>
      </c>
      <c r="B42" s="96"/>
      <c r="C42" s="96"/>
      <c r="D42" s="96"/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</row>
  </sheetData>
  <mergeCells count="5">
    <mergeCell ref="A42:O42"/>
    <mergeCell ref="A1:P1"/>
    <mergeCell ref="A4:D4"/>
    <mergeCell ref="A24:P24"/>
    <mergeCell ref="A2:P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1"/>
  <sheetViews>
    <sheetView workbookViewId="0">
      <selection activeCell="D6" sqref="D6"/>
    </sheetView>
  </sheetViews>
  <sheetFormatPr defaultRowHeight="14.4" x14ac:dyDescent="0.3"/>
  <cols>
    <col min="1" max="1" width="8" customWidth="1"/>
    <col min="2" max="2" width="28" customWidth="1"/>
    <col min="3" max="3" width="38" customWidth="1"/>
    <col min="4" max="4" width="55" customWidth="1"/>
    <col min="5" max="6" width="35" customWidth="1"/>
    <col min="7" max="7" width="42" customWidth="1"/>
  </cols>
  <sheetData>
    <row r="1" spans="1:7" ht="31.95" customHeight="1" x14ac:dyDescent="0.4">
      <c r="A1" s="104" t="s">
        <v>376</v>
      </c>
      <c r="B1" s="96"/>
      <c r="C1" s="96"/>
      <c r="D1" s="96"/>
      <c r="E1" s="96"/>
      <c r="F1" s="96"/>
      <c r="G1" s="96"/>
    </row>
    <row r="2" spans="1:7" ht="16.05" customHeight="1" x14ac:dyDescent="0.3">
      <c r="A2" s="100" t="s">
        <v>377</v>
      </c>
      <c r="B2" s="96"/>
      <c r="C2" s="96"/>
      <c r="D2" s="96"/>
      <c r="E2" s="96"/>
      <c r="F2" s="96"/>
      <c r="G2" s="96"/>
    </row>
    <row r="4" spans="1:7" ht="19.95" customHeight="1" x14ac:dyDescent="0.3">
      <c r="A4" s="109" t="s">
        <v>378</v>
      </c>
      <c r="B4" s="111"/>
      <c r="C4" s="111"/>
      <c r="D4" s="111"/>
      <c r="E4" s="111"/>
      <c r="F4" s="111"/>
      <c r="G4" s="112"/>
    </row>
    <row r="5" spans="1:7" ht="30" customHeight="1" x14ac:dyDescent="0.3">
      <c r="A5" s="75" t="s">
        <v>379</v>
      </c>
      <c r="B5" s="26" t="s">
        <v>380</v>
      </c>
      <c r="C5" s="26" t="s">
        <v>381</v>
      </c>
      <c r="D5" s="26" t="s">
        <v>382</v>
      </c>
      <c r="E5" s="26" t="s">
        <v>383</v>
      </c>
      <c r="F5" s="26" t="s">
        <v>384</v>
      </c>
      <c r="G5" s="76" t="s">
        <v>385</v>
      </c>
    </row>
    <row r="6" spans="1:7" ht="72" customHeight="1" x14ac:dyDescent="0.3">
      <c r="A6" s="86" t="s">
        <v>11</v>
      </c>
      <c r="B6" s="87" t="s">
        <v>386</v>
      </c>
      <c r="C6" s="87" t="s">
        <v>387</v>
      </c>
      <c r="D6" s="87" t="s">
        <v>388</v>
      </c>
      <c r="E6" s="87" t="s">
        <v>389</v>
      </c>
      <c r="F6" s="87" t="s">
        <v>390</v>
      </c>
      <c r="G6" s="88" t="s">
        <v>391</v>
      </c>
    </row>
    <row r="7" spans="1:7" ht="72" customHeight="1" x14ac:dyDescent="0.3">
      <c r="A7" s="89" t="s">
        <v>18</v>
      </c>
      <c r="B7" s="90" t="s">
        <v>392</v>
      </c>
      <c r="C7" s="90" t="s">
        <v>393</v>
      </c>
      <c r="D7" s="90" t="s">
        <v>394</v>
      </c>
      <c r="E7" s="90" t="s">
        <v>395</v>
      </c>
      <c r="F7" s="90" t="s">
        <v>396</v>
      </c>
      <c r="G7" s="91" t="s">
        <v>397</v>
      </c>
    </row>
    <row r="8" spans="1:7" ht="72" customHeight="1" x14ac:dyDescent="0.3">
      <c r="A8" s="86" t="s">
        <v>25</v>
      </c>
      <c r="B8" s="87" t="s">
        <v>398</v>
      </c>
      <c r="C8" s="87" t="s">
        <v>399</v>
      </c>
      <c r="D8" s="87" t="s">
        <v>400</v>
      </c>
      <c r="E8" s="87" t="s">
        <v>401</v>
      </c>
      <c r="F8" s="87" t="s">
        <v>402</v>
      </c>
      <c r="G8" s="88" t="s">
        <v>403</v>
      </c>
    </row>
    <row r="9" spans="1:7" ht="72" customHeight="1" x14ac:dyDescent="0.3">
      <c r="A9" s="89" t="s">
        <v>31</v>
      </c>
      <c r="B9" s="90" t="s">
        <v>404</v>
      </c>
      <c r="C9" s="90" t="s">
        <v>405</v>
      </c>
      <c r="D9" s="90" t="s">
        <v>406</v>
      </c>
      <c r="E9" s="90" t="s">
        <v>407</v>
      </c>
      <c r="F9" s="90" t="s">
        <v>408</v>
      </c>
      <c r="G9" s="91" t="s">
        <v>409</v>
      </c>
    </row>
    <row r="10" spans="1:7" ht="72" customHeight="1" x14ac:dyDescent="0.3">
      <c r="A10" s="86" t="s">
        <v>37</v>
      </c>
      <c r="B10" s="87" t="s">
        <v>410</v>
      </c>
      <c r="C10" s="87" t="s">
        <v>411</v>
      </c>
      <c r="D10" s="87" t="s">
        <v>412</v>
      </c>
      <c r="E10" s="87" t="s">
        <v>413</v>
      </c>
      <c r="F10" s="87" t="s">
        <v>414</v>
      </c>
      <c r="G10" s="88" t="s">
        <v>415</v>
      </c>
    </row>
    <row r="11" spans="1:7" ht="72" customHeight="1" x14ac:dyDescent="0.3">
      <c r="A11" s="89" t="s">
        <v>43</v>
      </c>
      <c r="B11" s="90" t="s">
        <v>416</v>
      </c>
      <c r="C11" s="90" t="s">
        <v>417</v>
      </c>
      <c r="D11" s="90" t="s">
        <v>418</v>
      </c>
      <c r="E11" s="90" t="s">
        <v>419</v>
      </c>
      <c r="F11" s="90" t="s">
        <v>420</v>
      </c>
      <c r="G11" s="91" t="s">
        <v>421</v>
      </c>
    </row>
    <row r="12" spans="1:7" ht="72" customHeight="1" x14ac:dyDescent="0.3">
      <c r="A12" s="86" t="s">
        <v>49</v>
      </c>
      <c r="B12" s="87" t="s">
        <v>422</v>
      </c>
      <c r="C12" s="87" t="s">
        <v>423</v>
      </c>
      <c r="D12" s="87" t="s">
        <v>424</v>
      </c>
      <c r="E12" s="87" t="s">
        <v>425</v>
      </c>
      <c r="F12" s="87" t="s">
        <v>426</v>
      </c>
      <c r="G12" s="88" t="s">
        <v>427</v>
      </c>
    </row>
    <row r="13" spans="1:7" ht="72" customHeight="1" x14ac:dyDescent="0.3">
      <c r="A13" s="89" t="s">
        <v>428</v>
      </c>
      <c r="B13" s="90" t="s">
        <v>429</v>
      </c>
      <c r="C13" s="90" t="s">
        <v>430</v>
      </c>
      <c r="D13" s="90" t="s">
        <v>431</v>
      </c>
      <c r="E13" s="90" t="s">
        <v>432</v>
      </c>
      <c r="F13" s="90" t="s">
        <v>433</v>
      </c>
      <c r="G13" s="91" t="s">
        <v>434</v>
      </c>
    </row>
    <row r="14" spans="1:7" ht="72" customHeight="1" x14ac:dyDescent="0.3">
      <c r="A14" s="86" t="s">
        <v>435</v>
      </c>
      <c r="B14" s="87" t="s">
        <v>436</v>
      </c>
      <c r="C14" s="87" t="s">
        <v>437</v>
      </c>
      <c r="D14" s="87" t="s">
        <v>438</v>
      </c>
      <c r="E14" s="87" t="s">
        <v>439</v>
      </c>
      <c r="F14" s="87" t="s">
        <v>440</v>
      </c>
      <c r="G14" s="88" t="s">
        <v>441</v>
      </c>
    </row>
    <row r="15" spans="1:7" ht="72" customHeight="1" x14ac:dyDescent="0.3">
      <c r="A15" s="89" t="s">
        <v>442</v>
      </c>
      <c r="B15" s="90" t="s">
        <v>443</v>
      </c>
      <c r="C15" s="90" t="s">
        <v>444</v>
      </c>
      <c r="D15" s="90" t="s">
        <v>445</v>
      </c>
      <c r="E15" s="90" t="s">
        <v>446</v>
      </c>
      <c r="F15" s="90" t="s">
        <v>447</v>
      </c>
      <c r="G15" s="91" t="s">
        <v>448</v>
      </c>
    </row>
    <row r="16" spans="1:7" ht="72" customHeight="1" x14ac:dyDescent="0.3">
      <c r="A16" s="86" t="s">
        <v>449</v>
      </c>
      <c r="B16" s="87" t="s">
        <v>450</v>
      </c>
      <c r="C16" s="87" t="s">
        <v>451</v>
      </c>
      <c r="D16" s="87" t="s">
        <v>452</v>
      </c>
      <c r="E16" s="87" t="s">
        <v>453</v>
      </c>
      <c r="F16" s="87" t="s">
        <v>454</v>
      </c>
      <c r="G16" s="88" t="s">
        <v>455</v>
      </c>
    </row>
    <row r="17" spans="1:7" ht="72" customHeight="1" x14ac:dyDescent="0.3">
      <c r="A17" s="92" t="s">
        <v>456</v>
      </c>
      <c r="B17" s="93" t="s">
        <v>457</v>
      </c>
      <c r="C17" s="93" t="s">
        <v>458</v>
      </c>
      <c r="D17" s="93" t="s">
        <v>459</v>
      </c>
      <c r="E17" s="93" t="s">
        <v>460</v>
      </c>
      <c r="F17" s="93" t="s">
        <v>461</v>
      </c>
      <c r="G17" s="94" t="s">
        <v>462</v>
      </c>
    </row>
    <row r="19" spans="1:7" ht="7.95" customHeight="1" x14ac:dyDescent="0.3"/>
    <row r="20" spans="1:7" ht="19.95" customHeight="1" x14ac:dyDescent="0.3">
      <c r="A20" s="109" t="s">
        <v>463</v>
      </c>
      <c r="B20" s="111"/>
      <c r="C20" s="111"/>
      <c r="D20" s="111"/>
      <c r="E20" s="112"/>
    </row>
    <row r="21" spans="1:7" ht="24" customHeight="1" x14ac:dyDescent="0.3">
      <c r="A21" s="75" t="s">
        <v>3</v>
      </c>
      <c r="B21" s="26" t="s">
        <v>464</v>
      </c>
      <c r="C21" s="26" t="s">
        <v>465</v>
      </c>
      <c r="D21" s="26" t="s">
        <v>466</v>
      </c>
      <c r="E21" s="76" t="s">
        <v>467</v>
      </c>
    </row>
    <row r="22" spans="1:7" ht="60" customHeight="1" x14ac:dyDescent="0.3">
      <c r="A22" s="86" t="s">
        <v>11</v>
      </c>
      <c r="B22" s="87" t="s">
        <v>468</v>
      </c>
      <c r="C22" s="87" t="s">
        <v>469</v>
      </c>
      <c r="D22" s="87" t="s">
        <v>470</v>
      </c>
      <c r="E22" s="88" t="s">
        <v>471</v>
      </c>
    </row>
    <row r="23" spans="1:7" ht="60" customHeight="1" x14ac:dyDescent="0.3">
      <c r="A23" s="89" t="s">
        <v>18</v>
      </c>
      <c r="B23" s="90" t="s">
        <v>472</v>
      </c>
      <c r="C23" s="90" t="s">
        <v>473</v>
      </c>
      <c r="D23" s="90" t="s">
        <v>474</v>
      </c>
      <c r="E23" s="91" t="s">
        <v>475</v>
      </c>
    </row>
    <row r="24" spans="1:7" ht="60" customHeight="1" x14ac:dyDescent="0.3">
      <c r="A24" s="86" t="s">
        <v>25</v>
      </c>
      <c r="B24" s="87" t="s">
        <v>476</v>
      </c>
      <c r="C24" s="87" t="s">
        <v>477</v>
      </c>
      <c r="D24" s="87" t="s">
        <v>478</v>
      </c>
      <c r="E24" s="88" t="s">
        <v>479</v>
      </c>
    </row>
    <row r="25" spans="1:7" ht="60" customHeight="1" x14ac:dyDescent="0.3">
      <c r="A25" s="89" t="s">
        <v>31</v>
      </c>
      <c r="B25" s="90" t="s">
        <v>480</v>
      </c>
      <c r="C25" s="90" t="s">
        <v>481</v>
      </c>
      <c r="D25" s="90" t="s">
        <v>482</v>
      </c>
      <c r="E25" s="91" t="s">
        <v>483</v>
      </c>
    </row>
    <row r="26" spans="1:7" ht="60" customHeight="1" x14ac:dyDescent="0.3">
      <c r="A26" s="86" t="s">
        <v>37</v>
      </c>
      <c r="B26" s="87" t="s">
        <v>484</v>
      </c>
      <c r="C26" s="87" t="s">
        <v>485</v>
      </c>
      <c r="D26" s="87" t="s">
        <v>486</v>
      </c>
      <c r="E26" s="88" t="s">
        <v>487</v>
      </c>
    </row>
    <row r="27" spans="1:7" ht="60" customHeight="1" x14ac:dyDescent="0.3">
      <c r="A27" s="89" t="s">
        <v>43</v>
      </c>
      <c r="B27" s="90" t="s">
        <v>488</v>
      </c>
      <c r="C27" s="90" t="s">
        <v>489</v>
      </c>
      <c r="D27" s="90" t="s">
        <v>490</v>
      </c>
      <c r="E27" s="91" t="s">
        <v>491</v>
      </c>
    </row>
    <row r="28" spans="1:7" ht="60" customHeight="1" x14ac:dyDescent="0.3">
      <c r="A28" s="86" t="s">
        <v>49</v>
      </c>
      <c r="B28" s="87" t="s">
        <v>492</v>
      </c>
      <c r="C28" s="87" t="s">
        <v>493</v>
      </c>
      <c r="D28" s="87" t="s">
        <v>494</v>
      </c>
      <c r="E28" s="88" t="s">
        <v>495</v>
      </c>
    </row>
    <row r="29" spans="1:7" ht="60" customHeight="1" x14ac:dyDescent="0.3">
      <c r="A29" s="89" t="s">
        <v>428</v>
      </c>
      <c r="B29" s="90" t="s">
        <v>496</v>
      </c>
      <c r="C29" s="90" t="s">
        <v>497</v>
      </c>
      <c r="D29" s="90" t="s">
        <v>498</v>
      </c>
      <c r="E29" s="91" t="s">
        <v>499</v>
      </c>
    </row>
    <row r="30" spans="1:7" ht="60" customHeight="1" x14ac:dyDescent="0.3">
      <c r="A30" s="86" t="s">
        <v>435</v>
      </c>
      <c r="B30" s="87" t="s">
        <v>500</v>
      </c>
      <c r="C30" s="87" t="s">
        <v>501</v>
      </c>
      <c r="D30" s="87" t="s">
        <v>502</v>
      </c>
      <c r="E30" s="88" t="s">
        <v>503</v>
      </c>
    </row>
    <row r="31" spans="1:7" ht="60" customHeight="1" x14ac:dyDescent="0.3">
      <c r="A31" s="92" t="s">
        <v>442</v>
      </c>
      <c r="B31" s="93" t="s">
        <v>504</v>
      </c>
      <c r="C31" s="93" t="s">
        <v>505</v>
      </c>
      <c r="D31" s="93" t="s">
        <v>506</v>
      </c>
      <c r="E31" s="94" t="s">
        <v>507</v>
      </c>
    </row>
  </sheetData>
  <mergeCells count="4">
    <mergeCell ref="A2:G2"/>
    <mergeCell ref="A1:G1"/>
    <mergeCell ref="A20:E20"/>
    <mergeCell ref="A4:G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TOC</vt:lpstr>
      <vt:lpstr>1-Billing Spikes</vt:lpstr>
      <vt:lpstr>2-Meter Data Quality</vt:lpstr>
      <vt:lpstr>3-Outage KPIs</vt:lpstr>
      <vt:lpstr>4-Billing Formulas</vt:lpstr>
      <vt:lpstr>5-Power Query ETL</vt:lpstr>
      <vt:lpstr>6-UAT Checklist</vt:lpstr>
      <vt:lpstr>7-QA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G VALENCIA</cp:lastModifiedBy>
  <dcterms:created xsi:type="dcterms:W3CDTF">2026-09-18T19:17:54Z</dcterms:created>
  <dcterms:modified xsi:type="dcterms:W3CDTF">2026-09-22T21:49:16Z</dcterms:modified>
</cp:coreProperties>
</file>